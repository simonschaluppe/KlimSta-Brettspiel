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istrator\Documents\_Privat\Coding\KlimSta\Versionen\"/>
    </mc:Choice>
  </mc:AlternateContent>
  <xr:revisionPtr revIDLastSave="0" documentId="13_ncr:1_{C6D57151-5AB3-43FB-AC99-39233EF68773}" xr6:coauthVersionLast="47" xr6:coauthVersionMax="47" xr10:uidLastSave="{00000000-0000-0000-0000-000000000000}"/>
  <bookViews>
    <workbookView xWindow="-110" yWindow="-110" windowWidth="19420" windowHeight="10420" tabRatio="721"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3" i="1" l="1"/>
  <c r="Z74" i="1"/>
  <c r="Z75" i="1"/>
  <c r="Z76" i="1"/>
  <c r="Z77" i="1"/>
  <c r="Z78" i="1"/>
  <c r="Z79" i="1"/>
  <c r="Z80" i="1"/>
  <c r="Z81" i="1"/>
  <c r="Z82" i="1"/>
  <c r="Z83" i="1"/>
  <c r="Z84" i="1"/>
  <c r="Z85" i="1"/>
  <c r="Z86" i="1"/>
  <c r="Z87" i="1"/>
  <c r="Z88" i="1"/>
  <c r="Z89" i="1"/>
  <c r="Z90" i="1"/>
  <c r="Z91" i="1"/>
  <c r="Z92" i="1"/>
  <c r="Z93" i="1"/>
  <c r="Z94" i="1"/>
  <c r="Z95" i="1"/>
  <c r="Z96" i="1"/>
  <c r="Z97" i="1"/>
  <c r="Z98" i="1"/>
  <c r="Z99" i="1"/>
  <c r="Z100"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D34" i="3"/>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H24" i="2"/>
  <c r="H21" i="2"/>
  <c r="G53" i="1" l="1"/>
  <c r="G33" i="1"/>
  <c r="G67" i="1"/>
  <c r="G19" i="1"/>
  <c r="G4" i="1"/>
  <c r="G69" i="1"/>
  <c r="G55" i="1"/>
  <c r="G39" i="1"/>
  <c r="G25"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68" i="1"/>
  <c r="G54" i="1"/>
  <c r="G37" i="1"/>
  <c r="G23" i="1"/>
  <c r="G5" i="1"/>
  <c r="G51" i="1"/>
  <c r="G61" i="1"/>
  <c r="G30" i="1"/>
  <c r="G16" i="1"/>
  <c r="G32" i="1"/>
  <c r="G29" i="1"/>
  <c r="G18" i="1"/>
  <c r="G60" i="1"/>
  <c r="G44" i="1"/>
  <c r="G15" i="1"/>
  <c r="G72" i="1"/>
  <c r="G43" i="1"/>
  <c r="G13" i="1"/>
  <c r="G65" i="1"/>
  <c r="G2" i="1"/>
  <c r="G46" i="1"/>
  <c r="G58" i="1"/>
  <c r="G27" i="1"/>
  <c r="J66" i="1"/>
  <c r="J58" i="1"/>
  <c r="J50" i="1"/>
  <c r="J42" i="1"/>
  <c r="J34" i="1"/>
  <c r="J26" i="1"/>
  <c r="J18" i="1"/>
  <c r="J10" i="1"/>
  <c r="J2" i="1"/>
  <c r="J65" i="1"/>
  <c r="J57" i="1"/>
  <c r="J49" i="1"/>
  <c r="J41" i="1"/>
  <c r="J33" i="1"/>
  <c r="J25" i="1"/>
  <c r="J17" i="1"/>
  <c r="J9" i="1"/>
  <c r="J70" i="1"/>
  <c r="J62" i="1"/>
  <c r="J54" i="1"/>
  <c r="J46" i="1"/>
  <c r="J38" i="1"/>
  <c r="J30" i="1"/>
  <c r="J22" i="1"/>
  <c r="J14" i="1"/>
  <c r="J6" i="1"/>
  <c r="J67" i="1"/>
  <c r="J53" i="1"/>
  <c r="J40" i="1"/>
  <c r="J28" i="1"/>
  <c r="J15" i="1"/>
  <c r="J3" i="1"/>
  <c r="J63" i="1"/>
  <c r="J51" i="1"/>
  <c r="J37" i="1"/>
  <c r="J24" i="1"/>
  <c r="J12" i="1"/>
  <c r="J72" i="1"/>
  <c r="J35" i="1"/>
  <c r="J8" i="1"/>
  <c r="J71" i="1"/>
  <c r="J32" i="1"/>
  <c r="J7" i="1"/>
  <c r="J64" i="1"/>
  <c r="J39" i="1"/>
  <c r="J27" i="1"/>
  <c r="J61" i="1"/>
  <c r="J48" i="1"/>
  <c r="J36" i="1"/>
  <c r="J23" i="1"/>
  <c r="J11" i="1"/>
  <c r="J60" i="1"/>
  <c r="J47" i="1"/>
  <c r="J21" i="1"/>
  <c r="J59" i="1"/>
  <c r="J45" i="1"/>
  <c r="J20" i="1"/>
  <c r="J52" i="1"/>
  <c r="J13" i="1"/>
  <c r="J69" i="1"/>
  <c r="J56" i="1"/>
  <c r="J44" i="1"/>
  <c r="J31" i="1"/>
  <c r="J19" i="1"/>
  <c r="J5" i="1"/>
  <c r="J68" i="1"/>
  <c r="J55" i="1"/>
  <c r="J43" i="1"/>
  <c r="J29" i="1"/>
  <c r="J16" i="1"/>
  <c r="J4" i="1"/>
  <c r="G71" i="1"/>
  <c r="G57" i="1"/>
  <c r="G40" i="1"/>
  <c r="G26" i="1"/>
  <c r="G11" i="1"/>
  <c r="I9" i="1"/>
  <c r="I17" i="1"/>
  <c r="I25" i="1"/>
  <c r="I33" i="1"/>
  <c r="I41" i="1"/>
  <c r="I49" i="1"/>
  <c r="I57" i="1"/>
  <c r="I65" i="1"/>
  <c r="I2" i="1"/>
  <c r="I10" i="1"/>
  <c r="I18" i="1"/>
  <c r="I26" i="1"/>
  <c r="I34" i="1"/>
  <c r="I42" i="1"/>
  <c r="I50" i="1"/>
  <c r="I58" i="1"/>
  <c r="I66" i="1"/>
  <c r="I5" i="1"/>
  <c r="I13" i="1"/>
  <c r="I21" i="1"/>
  <c r="I29" i="1"/>
  <c r="I37" i="1"/>
  <c r="I45" i="1"/>
  <c r="I53" i="1"/>
  <c r="I61" i="1"/>
  <c r="I69" i="1"/>
  <c r="I14" i="1"/>
  <c r="I27" i="1"/>
  <c r="I39" i="1"/>
  <c r="I52" i="1"/>
  <c r="I64" i="1"/>
  <c r="I4" i="1"/>
  <c r="I16" i="1"/>
  <c r="I30" i="1"/>
  <c r="I43" i="1"/>
  <c r="I55" i="1"/>
  <c r="I68" i="1"/>
  <c r="I20" i="1"/>
  <c r="I46" i="1"/>
  <c r="I71" i="1"/>
  <c r="I22" i="1"/>
  <c r="I47" i="1"/>
  <c r="I72" i="1"/>
  <c r="I3" i="1"/>
  <c r="I28" i="1"/>
  <c r="I54" i="1"/>
  <c r="I6" i="1"/>
  <c r="I19" i="1"/>
  <c r="I31" i="1"/>
  <c r="I44" i="1"/>
  <c r="I56" i="1"/>
  <c r="I70" i="1"/>
  <c r="I7" i="1"/>
  <c r="I32" i="1"/>
  <c r="I59" i="1"/>
  <c r="I8" i="1"/>
  <c r="I35" i="1"/>
  <c r="I60" i="1"/>
  <c r="I15" i="1"/>
  <c r="I40" i="1"/>
  <c r="I67" i="1"/>
  <c r="I11" i="1"/>
  <c r="I23" i="1"/>
  <c r="I36" i="1"/>
  <c r="I48" i="1"/>
  <c r="I62" i="1"/>
  <c r="I12" i="1"/>
  <c r="I24" i="1"/>
  <c r="I38" i="1"/>
  <c r="I51" i="1"/>
  <c r="I63" i="1"/>
  <c r="B6" i="8"/>
  <c r="C6" i="8" s="1"/>
  <c r="D6" i="8" s="1"/>
  <c r="B25" i="8"/>
  <c r="I25" i="8" s="1"/>
  <c r="B26" i="8"/>
  <c r="H26" i="8" s="1"/>
  <c r="B30" i="8"/>
  <c r="L30" i="8" s="1"/>
  <c r="B23" i="8"/>
  <c r="K23" i="8" s="1"/>
  <c r="B33" i="8"/>
  <c r="H33" i="8" s="1"/>
  <c r="B34" i="8"/>
  <c r="B36" i="8"/>
  <c r="J36" i="8" s="1"/>
  <c r="B24" i="8"/>
  <c r="E24" i="8" s="1"/>
  <c r="B32" i="8"/>
  <c r="J32" i="8" s="1"/>
  <c r="B27" i="8"/>
  <c r="C27" i="8" s="1"/>
  <c r="D27" i="8" s="1"/>
  <c r="B35" i="8"/>
  <c r="L35" i="8" s="1"/>
  <c r="B31" i="8"/>
  <c r="E31" i="8" s="1"/>
  <c r="B37" i="8"/>
  <c r="J37" i="8" s="1"/>
  <c r="B29" i="8"/>
  <c r="B28" i="8"/>
  <c r="C28" i="8" s="1"/>
  <c r="D28" i="8" s="1"/>
  <c r="I24" i="8"/>
  <c r="G12" i="8"/>
  <c r="C12" i="8"/>
  <c r="D12" i="8" s="1"/>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K17" i="8" s="1"/>
  <c r="B10" i="8"/>
  <c r="E10" i="8" s="1"/>
  <c r="B16" i="8"/>
  <c r="B15" i="8"/>
  <c r="I15" i="8" s="1"/>
  <c r="H5" i="1"/>
  <c r="Z5" i="1" s="1"/>
  <c r="H13" i="1"/>
  <c r="H27" i="1"/>
  <c r="H41" i="1"/>
  <c r="Z41" i="1" s="1"/>
  <c r="H55" i="1"/>
  <c r="H69" i="1"/>
  <c r="Z69" i="1" s="1"/>
  <c r="H58" i="1"/>
  <c r="Z58" i="1" s="1"/>
  <c r="H47" i="1"/>
  <c r="H39" i="1"/>
  <c r="Z39" i="1" s="1"/>
  <c r="H68" i="1"/>
  <c r="H14" i="1"/>
  <c r="H28" i="1"/>
  <c r="Z28" i="1" s="1"/>
  <c r="H42" i="1"/>
  <c r="H56" i="1"/>
  <c r="Z56" i="1" s="1"/>
  <c r="H70" i="1"/>
  <c r="Z70" i="1" s="1"/>
  <c r="H44" i="1"/>
  <c r="H72" i="1"/>
  <c r="Z72" i="1" s="1"/>
  <c r="H33" i="1"/>
  <c r="H11" i="1"/>
  <c r="H26" i="1"/>
  <c r="Z26" i="1" s="1"/>
  <c r="H15" i="1"/>
  <c r="Z15" i="1" s="1"/>
  <c r="H29" i="1"/>
  <c r="Z29" i="1" s="1"/>
  <c r="H43" i="1"/>
  <c r="Z43" i="1" s="1"/>
  <c r="H57" i="1"/>
  <c r="H71" i="1"/>
  <c r="Z71" i="1" s="1"/>
  <c r="H30" i="1"/>
  <c r="H60" i="1"/>
  <c r="H61" i="1"/>
  <c r="Z61" i="1" s="1"/>
  <c r="H25" i="1"/>
  <c r="Z25" i="1" s="1"/>
  <c r="H16" i="1"/>
  <c r="H2" i="1"/>
  <c r="Z2" i="1" s="1"/>
  <c r="H17" i="1"/>
  <c r="H31" i="1"/>
  <c r="Z31" i="1" s="1"/>
  <c r="H45" i="1"/>
  <c r="H59" i="1"/>
  <c r="H18" i="1"/>
  <c r="Z18" i="1" s="1"/>
  <c r="H32" i="1"/>
  <c r="Z32" i="1" s="1"/>
  <c r="H46" i="1"/>
  <c r="H19" i="1"/>
  <c r="Z19" i="1" s="1"/>
  <c r="H67" i="1"/>
  <c r="H40" i="1"/>
  <c r="Z40" i="1" s="1"/>
  <c r="H3" i="1"/>
  <c r="Z3" i="1" s="1"/>
  <c r="H4" i="1"/>
  <c r="H6" i="1"/>
  <c r="H20" i="1"/>
  <c r="Z20" i="1" s="1"/>
  <c r="H34" i="1"/>
  <c r="Z34" i="1" s="1"/>
  <c r="H48" i="1"/>
  <c r="Z48" i="1" s="1"/>
  <c r="H62" i="1"/>
  <c r="H63" i="1"/>
  <c r="H10" i="1"/>
  <c r="H66" i="1"/>
  <c r="H7" i="1"/>
  <c r="H21" i="1"/>
  <c r="Z21" i="1" s="1"/>
  <c r="H35" i="1"/>
  <c r="Z35" i="1" s="1"/>
  <c r="H49" i="1"/>
  <c r="Z49" i="1" s="1"/>
  <c r="H52" i="1"/>
  <c r="H12" i="1"/>
  <c r="H8" i="1"/>
  <c r="H22" i="1"/>
  <c r="Z22" i="1" s="1"/>
  <c r="H36" i="1"/>
  <c r="Z36" i="1" s="1"/>
  <c r="H50" i="1"/>
  <c r="H64" i="1"/>
  <c r="H23" i="1"/>
  <c r="Z23" i="1" s="1"/>
  <c r="H65" i="1"/>
  <c r="H24" i="1"/>
  <c r="Z24" i="1" s="1"/>
  <c r="H53" i="1"/>
  <c r="H54" i="1"/>
  <c r="H9" i="1"/>
  <c r="Z9" i="1" s="1"/>
  <c r="H37" i="1"/>
  <c r="H51" i="1"/>
  <c r="H38" i="1"/>
  <c r="Z38" i="1" s="1"/>
  <c r="B14" i="8"/>
  <c r="B13" i="8"/>
  <c r="I13" i="8" s="1"/>
  <c r="B3" i="8"/>
  <c r="C3" i="8" s="1"/>
  <c r="D3" i="8" s="1"/>
  <c r="H12" i="8"/>
  <c r="B22" i="8"/>
  <c r="B2" i="8"/>
  <c r="B19" i="8"/>
  <c r="K6" i="8"/>
  <c r="H6" i="8"/>
  <c r="E12" i="8"/>
  <c r="I12" i="8"/>
  <c r="J12" i="8"/>
  <c r="B11" i="8"/>
  <c r="C11" i="8" s="1"/>
  <c r="D11" i="8" s="1"/>
  <c r="K12" i="8"/>
  <c r="L12" i="8"/>
  <c r="B9" i="8"/>
  <c r="C9" i="8" s="1"/>
  <c r="D9" i="8" s="1"/>
  <c r="B21" i="8"/>
  <c r="C21" i="8" s="1"/>
  <c r="D21" i="8" s="1"/>
  <c r="B7" i="8"/>
  <c r="C7" i="8" s="1"/>
  <c r="D7" i="8" s="1"/>
  <c r="B20" i="8"/>
  <c r="C20" i="8" s="1"/>
  <c r="D20" i="8" s="1"/>
  <c r="F12" i="8"/>
  <c r="Z37" i="1" l="1"/>
  <c r="Z50" i="1"/>
  <c r="Z42" i="1"/>
  <c r="Z55" i="1"/>
  <c r="AA51" i="1"/>
  <c r="Z51" i="1"/>
  <c r="Z54" i="1"/>
  <c r="Z66" i="1"/>
  <c r="Z4" i="1"/>
  <c r="Z59" i="1"/>
  <c r="Z60" i="1"/>
  <c r="Z11" i="1"/>
  <c r="Z14" i="1"/>
  <c r="Z27" i="1"/>
  <c r="AA64" i="1"/>
  <c r="Z64" i="1"/>
  <c r="Z7" i="1"/>
  <c r="Z6" i="1"/>
  <c r="F6" i="8"/>
  <c r="AA53" i="1"/>
  <c r="Z53" i="1"/>
  <c r="AA8" i="1"/>
  <c r="Z8" i="1"/>
  <c r="Z10" i="1"/>
  <c r="Z45" i="1"/>
  <c r="Z30" i="1"/>
  <c r="Z33" i="1"/>
  <c r="Z68" i="1"/>
  <c r="Z13" i="1"/>
  <c r="AA46" i="1"/>
  <c r="Z46" i="1"/>
  <c r="Z63" i="1"/>
  <c r="AA16" i="1"/>
  <c r="Z16" i="1"/>
  <c r="AA12" i="1"/>
  <c r="Z12" i="1"/>
  <c r="J6" i="8"/>
  <c r="AA65" i="1"/>
  <c r="Z65" i="1"/>
  <c r="AA52" i="1"/>
  <c r="Z52" i="1"/>
  <c r="Z62" i="1"/>
  <c r="Z67" i="1"/>
  <c r="Z17" i="1"/>
  <c r="Z57" i="1"/>
  <c r="AA44" i="1"/>
  <c r="Z44" i="1"/>
  <c r="Z47" i="1"/>
  <c r="F36" i="8"/>
  <c r="AA69" i="1"/>
  <c r="AA50" i="1"/>
  <c r="K26" i="8"/>
  <c r="AA62" i="1"/>
  <c r="K27" i="8"/>
  <c r="AA57" i="1"/>
  <c r="J26" i="8"/>
  <c r="H36" i="8"/>
  <c r="AA56" i="1"/>
  <c r="AA35" i="1"/>
  <c r="I26" i="8"/>
  <c r="AA25" i="1"/>
  <c r="AA15" i="1"/>
  <c r="F28" i="8"/>
  <c r="E35" i="8"/>
  <c r="AA63" i="1"/>
  <c r="AA31" i="1"/>
  <c r="AA39" i="1"/>
  <c r="I10" i="8"/>
  <c r="G6" i="8"/>
  <c r="AA17" i="1"/>
  <c r="AA47" i="1"/>
  <c r="L6" i="8"/>
  <c r="AA38" i="1"/>
  <c r="AA2" i="1"/>
  <c r="I35" i="8"/>
  <c r="J28" i="8"/>
  <c r="G24" i="8"/>
  <c r="AA34" i="1"/>
  <c r="AA29" i="1"/>
  <c r="K33" i="8"/>
  <c r="E32" i="8"/>
  <c r="G33" i="8"/>
  <c r="AA9" i="1"/>
  <c r="AA36" i="1"/>
  <c r="AA41" i="1"/>
  <c r="I32" i="8"/>
  <c r="E33" i="8"/>
  <c r="H32" i="8"/>
  <c r="I6" i="8"/>
  <c r="AA7" i="1"/>
  <c r="AA28" i="1"/>
  <c r="E6" i="8"/>
  <c r="AA66" i="1"/>
  <c r="AA60" i="1"/>
  <c r="E30" i="8"/>
  <c r="J24" i="8"/>
  <c r="K32" i="8"/>
  <c r="I28" i="8"/>
  <c r="AA5" i="1"/>
  <c r="J25" i="8"/>
  <c r="AA71" i="1"/>
  <c r="AA67" i="1"/>
  <c r="F25" i="8"/>
  <c r="E29" i="8"/>
  <c r="K29" i="8"/>
  <c r="C29" i="8"/>
  <c r="D29" i="8" s="1"/>
  <c r="G29" i="8"/>
  <c r="F29" i="8"/>
  <c r="E34" i="8"/>
  <c r="C34" i="8"/>
  <c r="D34" i="8" s="1"/>
  <c r="K34" i="8"/>
  <c r="L23" i="8"/>
  <c r="K31" i="8"/>
  <c r="J29" i="8"/>
  <c r="I17" i="8"/>
  <c r="H17" i="8"/>
  <c r="AA23" i="1"/>
  <c r="AA49" i="1"/>
  <c r="AA48" i="1"/>
  <c r="AA19" i="1"/>
  <c r="AA43" i="1"/>
  <c r="AA70" i="1"/>
  <c r="AA58" i="1"/>
  <c r="G37" i="8"/>
  <c r="C37" i="8"/>
  <c r="D37" i="8" s="1"/>
  <c r="C33" i="8"/>
  <c r="D33" i="8" s="1"/>
  <c r="I33" i="8"/>
  <c r="F34" i="8"/>
  <c r="F27" i="8"/>
  <c r="L27" i="8"/>
  <c r="L33" i="8"/>
  <c r="G36" i="8"/>
  <c r="G31" i="8"/>
  <c r="I37" i="8"/>
  <c r="L31" i="8"/>
  <c r="L15" i="8"/>
  <c r="AA37" i="1"/>
  <c r="AA21" i="1"/>
  <c r="AA32" i="1"/>
  <c r="AA42" i="1"/>
  <c r="AA55" i="1"/>
  <c r="J31" i="8"/>
  <c r="H35" i="8"/>
  <c r="C35" i="8"/>
  <c r="D35" i="8" s="1"/>
  <c r="J30" i="8"/>
  <c r="I30" i="8"/>
  <c r="C30" i="8"/>
  <c r="D30" i="8" s="1"/>
  <c r="I29" i="8"/>
  <c r="H30" i="8"/>
  <c r="G30" i="8"/>
  <c r="I31" i="8"/>
  <c r="E23" i="8"/>
  <c r="G23" i="8"/>
  <c r="J23" i="8"/>
  <c r="I23" i="8"/>
  <c r="C23" i="8"/>
  <c r="D23" i="8" s="1"/>
  <c r="H23" i="8"/>
  <c r="AA20" i="1"/>
  <c r="AA6" i="1"/>
  <c r="AA18" i="1"/>
  <c r="AA61" i="1"/>
  <c r="AA26" i="1"/>
  <c r="E26" i="8"/>
  <c r="C26" i="8"/>
  <c r="D26" i="8" s="1"/>
  <c r="F26" i="8"/>
  <c r="F24" i="8"/>
  <c r="J27" i="8"/>
  <c r="H28" i="8"/>
  <c r="L25" i="8"/>
  <c r="K28" i="8"/>
  <c r="G28" i="8"/>
  <c r="H29" i="8"/>
  <c r="E28" i="8"/>
  <c r="C31" i="8"/>
  <c r="D31" i="8" s="1"/>
  <c r="F31" i="8"/>
  <c r="AA54" i="1"/>
  <c r="AA22" i="1"/>
  <c r="AA4" i="1"/>
  <c r="AA59" i="1"/>
  <c r="AA11" i="1"/>
  <c r="AA14" i="1"/>
  <c r="AA27" i="1"/>
  <c r="L32" i="8"/>
  <c r="C32" i="8"/>
  <c r="D32" i="8" s="1"/>
  <c r="H25" i="8"/>
  <c r="C25" i="8"/>
  <c r="D25" i="8" s="1"/>
  <c r="L34" i="8"/>
  <c r="L29" i="8"/>
  <c r="E36" i="8"/>
  <c r="F23" i="8"/>
  <c r="L26" i="8"/>
  <c r="H37" i="8"/>
  <c r="G34" i="8"/>
  <c r="G25" i="8"/>
  <c r="G27" i="8"/>
  <c r="E37" i="8"/>
  <c r="F32" i="8"/>
  <c r="G10" i="8"/>
  <c r="J10" i="8"/>
  <c r="AA10" i="1"/>
  <c r="AA3" i="1"/>
  <c r="AA45" i="1"/>
  <c r="AA30" i="1"/>
  <c r="AA33" i="1"/>
  <c r="AA68" i="1"/>
  <c r="AA13" i="1"/>
  <c r="H24" i="8"/>
  <c r="K24" i="8"/>
  <c r="C24" i="8"/>
  <c r="D24" i="8" s="1"/>
  <c r="J35" i="8"/>
  <c r="F37" i="8"/>
  <c r="F35" i="8"/>
  <c r="H31" i="8"/>
  <c r="L28" i="8"/>
  <c r="K35" i="8"/>
  <c r="G35" i="8"/>
  <c r="G26" i="8"/>
  <c r="I34" i="8"/>
  <c r="I27" i="8"/>
  <c r="E25" i="8"/>
  <c r="H34" i="8"/>
  <c r="K30" i="8"/>
  <c r="AA24" i="1"/>
  <c r="AA40" i="1"/>
  <c r="AA72" i="1"/>
  <c r="K36" i="8"/>
  <c r="C36" i="8"/>
  <c r="D36" i="8" s="1"/>
  <c r="J34" i="8"/>
  <c r="F33" i="8"/>
  <c r="J33" i="8"/>
  <c r="L37" i="8"/>
  <c r="H27" i="8"/>
  <c r="G32" i="8"/>
  <c r="K25" i="8"/>
  <c r="K37" i="8"/>
  <c r="F30" i="8"/>
  <c r="E27" i="8"/>
  <c r="I36" i="8"/>
  <c r="L36" i="8"/>
  <c r="L24" i="8"/>
  <c r="L13" i="8"/>
  <c r="C13" i="8"/>
  <c r="D13" i="8" s="1"/>
  <c r="G19" i="8"/>
  <c r="C19" i="8"/>
  <c r="D19" i="8" s="1"/>
  <c r="G18" i="8"/>
  <c r="C18" i="8"/>
  <c r="D18" i="8" s="1"/>
  <c r="F14" i="8"/>
  <c r="C14" i="8"/>
  <c r="D14" i="8" s="1"/>
  <c r="K5" i="8"/>
  <c r="C5" i="8"/>
  <c r="D5" i="8" s="1"/>
  <c r="G15" i="8"/>
  <c r="C15" i="8"/>
  <c r="D15" i="8" s="1"/>
  <c r="E16" i="8"/>
  <c r="C16" i="8"/>
  <c r="D16" i="8" s="1"/>
  <c r="L10" i="8"/>
  <c r="C10" i="8"/>
  <c r="D10" i="8" s="1"/>
  <c r="J17" i="8"/>
  <c r="C17" i="8"/>
  <c r="D17" i="8" s="1"/>
  <c r="H15" i="8"/>
  <c r="K15" i="8"/>
  <c r="L2" i="8"/>
  <c r="C2" i="8"/>
  <c r="D2" i="8" s="1"/>
  <c r="J4" i="8"/>
  <c r="C4" i="8"/>
  <c r="D4" i="8" s="1"/>
  <c r="J16" i="8"/>
  <c r="I22" i="8"/>
  <c r="C22" i="8"/>
  <c r="D22" i="8" s="1"/>
  <c r="G8" i="8"/>
  <c r="C8" i="8"/>
  <c r="D8" i="8" s="1"/>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<sst xmlns="http://schemas.openxmlformats.org/spreadsheetml/2006/main" count="667" uniqueCount="348">
  <si>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</si>
  <si>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</si>
  <si>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</si>
  <si>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</si>
  <si>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</si>
  <si>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</si>
  <si>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</si>
  <si>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</si>
  <si>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</si>
  <si>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</si>
  <si>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</si>
  <si>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</si>
  <si>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</si>
  <si>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</si>
  <si>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</si>
  <si>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</si>
  <si>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</si>
  <si>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</si>
  <si>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</si>
  <si>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</si>
  <si>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</si>
  <si>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</si>
  <si>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</si>
  <si>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</si>
  <si>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</si>
  <si>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</si>
  <si>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</si>
  <si>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</si>
  <si>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</si>
  <si>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</si>
  <si>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</si>
  <si>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</si>
  <si>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</si>
  <si>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</si>
  <si>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</si>
  <si>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</si>
  <si>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</si>
  <si>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</si>
  <si>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</si>
  <si>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</si>
  <si>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</si>
  <si>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</si>
  <si>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</si>
  <si>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</si>
  <si>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</si>
  <si>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</si>
  <si>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</si>
  <si>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</si>
  <si>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</si>
  <si>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</si>
  <si>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</si>
  <si>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</si>
  <si>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</si>
  <si>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</si>
  <si>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</si>
  <si>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</si>
  <si>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</si>
  <si>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</si>
  <si>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</si>
  <si>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</si>
  <si>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</si>
  <si>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</si>
  <si>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</si>
  <si>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</si>
  <si>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</si>
  <si>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</si>
  <si>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</si>
  <si>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</si>
  <si>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</si>
  <si>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</si>
  <si>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</si>
  <si>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</si>
  <si>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</si>
  <si>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</si>
  <si>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</si>
  <si>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</si>
  <si>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</si>
  <si>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</si>
  <si>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</si>
  <si>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</si>
  <si>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</si>
  <si>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</si>
  <si>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</si>
  <si>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</si>
  <si>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</si>
  <si>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</si>
  <si>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</si>
  <si>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</si>
  <si>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</si>
  <si>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</si>
  <si>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</si>
  <si>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</si>
  <si>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</si>
  <si>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</si>
  <si>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</si>
  <si>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</si>
  <si>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</si>
  <si>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</si>
  <si>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</si>
  <si>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</si>
  <si>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</si>
  <si>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</si>
  <si>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</si>
  <si>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</si>
  <si>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</si>
  <si>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</si>
  <si>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</si>
  <si>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</si>
  <si>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</si>
  <si>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</si>
  <si>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</si>
  <si>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</si>
  <si>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</si>
  <si>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</si>
  <si>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</si>
  <si>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</si>
  <si>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</si>
  <si>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</si>
  <si>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</si>
  <si>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</si>
  <si>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</si>
  <si>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</si>
  <si>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</si>
  <si>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</si>
  <si>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</si>
  <si>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</si>
  <si>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</si>
  <si>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</si>
  <si>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</si>
  <si>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</si>
  <si>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</si>
  <si>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</si>
  <si>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</si>
  <si>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</si>
  <si>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</si>
  <si>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</si>
  <si>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</si>
  <si>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</si>
  <si>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</si>
  <si>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</si>
  <si>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</si>
  <si>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</si>
  <si>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</si>
  <si>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</si>
  <si>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</si>
  <si>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</si>
  <si>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</si>
  <si>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</si>
  <si>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</si>
  <si>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</si>
  <si>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</si>
  <si>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</si>
  <si>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</si>
  <si>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</si>
  <si>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</si>
  <si>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</si>
  <si>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</si>
  <si>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</si>
  <si>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</si>
  <si>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</si>
  <si>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</si>
  <si>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</si>
  <si>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</si>
  <si>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</si>
  <si>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</si>
  <si>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</si>
  <si>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</si>
  <si>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</si>
  <si>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</si>
  <si>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</si>
  <si>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</si>
  <si>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</si>
  <si>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</si>
  <si>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</si>
  <si>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</si>
  <si>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</si>
  <si>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</si>
  <si>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</si>
  <si>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</si>
  <si>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</si>
  <si>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</si>
  <si>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</si>
  <si>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</si>
  <si>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</si>
  <si>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</si>
  <si>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</si>
  <si>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</si>
  <si>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</si>
  <si>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</si>
  <si>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</si>
  <si>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</si>
  <si>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</si>
  <si>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</si>
  <si>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</si>
  <si>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</si>
  <si>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</si>
  <si>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</si>
  <si>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</si>
  <si>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</si>
  <si>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</si>
  <si>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</si>
  <si>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</si>
  <si>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</si>
  <si>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</si>
  <si>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</si>
  <si>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</si>
  <si>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</si>
  <si>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</si>
  <si>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</si>
  <si>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</si>
  <si>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</si>
  <si>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</si>
  <si>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</si>
  <si>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</si>
  <si>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</si>
  <si>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</si>
  <si>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</si>
  <si>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</si>
  <si>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</si>
  <si>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</si>
  <si>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</si>
  <si>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</si>
  <si>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</si>
  <si>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</si>
  <si>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</si>
  <si>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</si>
  <si>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</si>
  <si>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</si>
  <si>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</si>
  <si>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</si>
  <si>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</si>
  <si>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</si>
  <si>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</si>
  <si>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</si>
  <si>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</si>
  <si>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</si>
  <si>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</si>
  <si>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</si>
  <si>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</si>
  <si>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</si>
  <si>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</si>
  <si>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</si>
  <si>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</si>
  <si>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</si>
  <si>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</si>
  <si>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</si>
  <si>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</si>
  <si>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</si>
  <si>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</si>
  <si>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</si>
  <si>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</si>
  <si>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</si>
  <si>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</si>
  <si>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</si>
  <si>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</si>
  <si>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</si>
  <si>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</si>
  <si>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</si>
  <si>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</si>
  <si>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</si>
  <si>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</si>
  <si>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</si>
  <si>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</si>
  <si>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</si>
  <si>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</si>
  <si>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</si>
  <si>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</si>
  <si>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</si>
  <si>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</si>
  <si>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</si>
  <si>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</si>
  <si>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</si>
  <si>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</si>
  <si>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</si>
  <si>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</si>
  <si>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</si>
  <si>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</si>
  <si>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</si>
  <si>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</si>
  <si>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</si>
  <si>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</si>
  <si>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</si>
  <si>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</si>
  <si>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</si>
  <si>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</si>
  <si>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</si>
  <si>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</si>
  <si>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</si>
  <si>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</si>
  <si>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</si>
  <si>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</si>
  <si>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</si>
  <si>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</si>
  <si>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</si>
  <si>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</si>
  <si>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</si>
  <si>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</si>
  <si>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</si>
  <si>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</si>
  <si>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</si>
  <si>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</si>
  <si>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</si>
  <si>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</si>
  <si>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</si>
  <si>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</si>
  <si>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</si>
  <si>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</si>
  <si>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</si>
  <si>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</si>
  <si>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</si>
  <si>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</si>
  <si>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</si>
  <si>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</si>
  <si>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</si>
  <si>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</si>
  <si>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</si>
  <si>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</si>
  <si>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</si>
  <si>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</si>
  <si>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</si>
  <si>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</si>
  <si>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</si>
  <si>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</si>
  <si>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</si>
  <si>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</si>
  <si>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</si>
  <si>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</si>
  <si>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</si>
  <si>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</si>
  <si>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</si>
  <si>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</si>
  <si>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</si>
  <si>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</si>
  <si>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</si>
  <si>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</si>
  <si>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</si>
  <si>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</si>
  <si>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</si>
  <si>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</si>
  <si>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</si>
  <si>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</si>
  <si>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</si>
  <si>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</si>
  <si>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</si>
  <si>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</si>
  <si>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</si>
  <si>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</si>
  <si>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EffektLine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</si>
</sst>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40">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0" borderId="0" xfId="0" applyFont="1" applyFill="1" applyBorder="1" applyAlignment="1">
      <alignment vertical="center"/>
    </xf>
    <xf numFmtId="0" fontId="2" fillId="11" borderId="0" xfId="0" applyFont="1" applyFill="1" applyBorder="1" applyAlignment="1">
      <alignment vertical="center"/>
    </xf>
  </cellXfs>
  <cellStyles count="1">
    <cellStyle name="Normal" xfId="0" builtinId="0"/>
  </cellStyles>
  <dxfs count="81">
    <dxf>
      <font>
        <b val="0"/>
        <i val="0"/>
        <strike val="0"/>
        <condense val="0"/>
        <extend val="0"/>
        <outline val="0"/>
        <shadow val="0"/>
        <u val="none"/>
        <vertAlign val="baseline"/>
        <sz val="10"/>
        <color rgb="FF434343"/>
        <name val="Roboto"/>
        <scheme val="none"/>
      </font>
      <numFmt numFmtId="0" formatCode="General"/>
      <fill>
        <patternFill patternType="solid">
          <fgColor rgb="FFFFFFFF"/>
          <bgColor rgb="FFFFFFFF"/>
        </patternFill>
      </fill>
      <alignment horizontal="general" vertical="center" textRotation="0" wrapText="0" indent="0" justifyLastLine="0" shrinkToFit="0" readingOrder="0"/>
    </dxf>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0"/>
      <tableStyleElement type="headerRow" dxfId="79"/>
      <tableStyleElement type="firstRowStripe" dxfId="78"/>
      <tableStyleElement type="secondRowStripe" dxfId="77"/>
    </tableStyle>
    <tableStyle name="Massnahmenkarten Texte-style" pivot="0" count="4" xr9:uid="{00000000-0011-0000-FFFF-FFFF01000000}">
      <tableStyleElement type="wholeTable" size="0" dxfId="76"/>
      <tableStyleElement type="headerRow" dxfId="75"/>
      <tableStyleElement type="firstRowStripe" dxfId="74"/>
      <tableStyleElement type="secondRowStripe" dxfId="73"/>
    </tableStyle>
    <tableStyle name="Mapping RealwerteSpielwerte-style" pivot="0" count="4" xr9:uid="{00000000-0011-0000-FFFF-FFFF02000000}">
      <tableStyleElement type="wholeTable" size="0" dxfId="72"/>
      <tableStyleElement type="headerRow" dxfId="71"/>
      <tableStyleElement type="firstRowStripe" dxfId="70"/>
      <tableStyleElement type="secondRowStripe" dxfId="69"/>
    </tableStyle>
    <tableStyle name="Board BaseValues-style" pivot="0" count="4" xr9:uid="{00000000-0011-0000-FFFF-FFFF03000000}">
      <tableStyleElement type="wholeTable" size="0" dxfId="68"/>
      <tableStyleElement type="headerRow" dxfId="67"/>
      <tableStyleElement type="firstRowStripe" dxfId="66"/>
      <tableStyleElement type="secondRowStripe" dxfId="65"/>
    </tableStyle>
    <tableStyle name="Board Heiztabelle SP-style" pivot="0" count="4" xr9:uid="{00000000-0011-0000-FFFF-FFFF04000000}">
      <tableStyleElement type="wholeTable" size="0" dxfId="64"/>
      <tableStyleElement type="headerRow" dxfId="63"/>
      <tableStyleElement type="firstRowStripe" dxfId="62"/>
      <tableStyleElement type="secondRowStripe" dxfId="61"/>
    </tableStyle>
    <tableStyle name="Board Heiztabelle Budget-style" pivot="0" count="4" xr9:uid="{00000000-0011-0000-FFFF-FFFF05000000}">
      <tableStyleElement type="wholeTable" size="0" dxfId="60"/>
      <tableStyleElement type="headerRow" dxfId="59"/>
      <tableStyleElement type="firstRowStripe" dxfId="58"/>
      <tableStyleElement type="secondRowStripe" dxfId="57"/>
    </tableStyle>
    <tableStyle name="Board WP Netzbezug-style" pivot="0" count="4" xr9:uid="{00000000-0011-0000-FFFF-FFFF06000000}">
      <tableStyleElement type="wholeTable" size="0" dxfId="56"/>
      <tableStyleElement type="headerRow" dxfId="55"/>
      <tableStyleElement type="firstRowStripe" dxfId="54"/>
      <tableStyleElement type="secondRowStripe" dxfId="53"/>
    </tableStyle>
    <tableStyle name="Netzbezug Impact-style" pivot="0" count="4" xr9:uid="{00000000-0011-0000-FFFF-FFFF07000000}">
      <tableStyleElement type="wholeTable" size="0" dxfId="52"/>
      <tableStyleElement type="headerRow" dxfId="51"/>
      <tableStyleElement type="firstRowStripe" dxfId="50"/>
      <tableStyleElement type="secondRow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100">
  <sortState xmlns:xlrd2="http://schemas.microsoft.com/office/spreadsheetml/2017/richdata2" ref="A2:Y100">
    <sortCondition ref="B1:B100"/>
  </sortState>
  <tableColumns count="28">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8">
      <calculatedColumnFormula>Table1[[#This Row],[REAL Sofort CO2]]/kgemission_per_sp</calculatedColumnFormula>
    </tableColumn>
    <tableColumn id="8" xr3:uid="{00000000-0010-0000-0000-000008000000}" name="Strombedarf" dataDxfId="47">
      <calculatedColumnFormula>Table1[[#This Row],[REAL Strombedarf]]/real_zu_spiel_strombedarf</calculatedColumnFormula>
    </tableColumn>
    <tableColumn id="9" xr3:uid="{00000000-0010-0000-0000-000009000000}" name="Stromproduktion" dataDxfId="46">
      <calculatedColumnFormula>Table1[[#This Row],[REAL Stromproduktion]]/real_zu_spiel_stromproduktion</calculatedColumnFormula>
    </tableColumn>
    <tableColumn id="10" xr3:uid="{00000000-0010-0000-0000-00000A000000}" name="Stromspeicher" dataDxfId="45">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4"/>
    <tableColumn id="25" xr3:uid="{8B6CFA43-B9CB-4808-B66A-C728842AC947}" name="REAL Sofort CO2" dataDxfId="43"/>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 id="28" xr3:uid="{38CFB816-B647-4EDB-B1CF-0EB21F089ADF}" name="EffektLine" dataDxfId="0">
      <calculatedColumnFormula>_xlfn.TEXTJOIN("&amp;nbsp;",TRUE,IF(F2&lt;&gt;0,IF(F2&gt;0,"+"&amp;F2,F2)&amp;"EN",""),IF(H2&lt;&gt;0,IF(H2&gt;0,"+"&amp;H2,H2)&amp;"BM",""),IF(I2&lt;&gt;0,IF(I2&gt;0,"+"&amp;I2,I2)&amp;"SP",""),IF(J2&lt;&gt;0,IF(J2&gt;0,"+"&amp;J2,J2)&amp;"FL",""),IF(K2&lt;&gt;0,IF(K2&gt;0,"+"&amp;K2,K2)&amp;"WS",""),IF(L2&lt;&gt;0,IF(L2&gt;0,"+"&amp;L2,L2)&amp;"EF",""),IF(M2&lt;&gt;0,IF(M2&gt;0,"+"&amp;M2,M2)&amp;"ZU",""),IF(D2&lt;&gt;0,D2,""))</calculatedColumnFormula>
    </tableColumn>
    <tableColumn id="26" xr3:uid="{FDB4847F-B10D-4845-B90B-E9D5F945F1B7}" name="EffektParsed" dataDxfId="42">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1">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40"/>
    <tableColumn id="2" xr3:uid="{00000000-0010-0000-0200-000002000000}" name="Spiel" dataDxfId="39"/>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8"/>
    <tableColumn id="7" xr3:uid="{382715DF-E649-4C68-8229-17F79CFD05E9}" name="Gas Real" dataDxfId="37"/>
    <tableColumn id="8" xr3:uid="{9D3BFB1F-D194-4CFF-801A-646B03B69223}" name="Biomasse Real" dataDxfId="36"/>
    <tableColumn id="9" xr3:uid="{92D64809-6003-4492-A647-B5959B9DDB64}" name="Fernwärme Real" dataDxfId="35"/>
    <tableColumn id="10" xr3:uid="{08723E33-0A65-4BFC-9E7A-BA30B56D6C93}" name="Grünes Gas Real" dataDxfId="34"/>
    <tableColumn id="11" xr3:uid="{308CC45B-DB70-43B9-B4BC-DFAA9033E01B}" name="Wärmepumpe Real" dataDxfId="33"/>
    <tableColumn id="2" xr3:uid="{00000000-0010-0000-0400-000002000000}" name="Gas" dataDxfId="32">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1">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30"/>
    <tableColumn id="7" xr3:uid="{7EE7A865-A9C3-4293-93B4-6A7F6B0D0739}" name="Gas Real" dataDxfId="29">
      <calculatedColumnFormula>Table6_2[[#This Row],[HWB]]*'Mapping RealwerteSpielwerte'!$B$23</calculatedColumnFormula>
    </tableColumn>
    <tableColumn id="8" xr3:uid="{B9056603-4120-4751-8FD5-39C0A331CEB9}" name="Biomasse Real" dataDxfId="28">
      <calculatedColumnFormula>Table6_2[[#This Row],[HWB]]*'Mapping RealwerteSpielwerte'!$B$24</calculatedColumnFormula>
    </tableColumn>
    <tableColumn id="9" xr3:uid="{775B0FD7-CE79-4EF3-8952-C905936C6A82}" name="Fernwärme Real" dataDxfId="27">
      <calculatedColumnFormula>Table6_2[[#This Row],[HWB]]*'Mapping RealwerteSpielwerte'!$B$25</calculatedColumnFormula>
    </tableColumn>
    <tableColumn id="10" xr3:uid="{600AB853-60A0-47F9-B6B9-14F74CC0E0AE}" name="Grünes Gas Real" dataDxfId="26">
      <calculatedColumnFormula>Table6_2[[#This Row],[HWB]]*'Mapping RealwerteSpielwerte'!$B$26</calculatedColumnFormula>
    </tableColumn>
    <tableColumn id="11" xr3:uid="{1611B9F2-405C-4348-B6D7-02BE82C080AD}" name="Wärmepumpe Real" dataDxfId="25">
      <calculatedColumnFormula>0</calculatedColumnFormula>
    </tableColumn>
    <tableColumn id="2" xr3:uid="{00000000-0010-0000-0500-000002000000}" name="Gas" dataDxfId="24">
      <calculatedColumnFormula>-Table6_2[[#This Row],[Gas Real]]*'Mapping RealwerteSpielwerte'!$C$23+heizkosten_baseline</calculatedColumnFormula>
    </tableColumn>
    <tableColumn id="3" xr3:uid="{00000000-0010-0000-0500-000003000000}" name="Biomasse" dataDxfId="23">
      <calculatedColumnFormula>-Table6_2[[#This Row],[Biomasse Real]]*'Mapping RealwerteSpielwerte'!$C$24+heizkosten_baseline</calculatedColumnFormula>
    </tableColumn>
    <tableColumn id="4" xr3:uid="{00000000-0010-0000-0500-000004000000}" name="Fernwärme" dataDxfId="22">
      <calculatedColumnFormula>-Table6_2[[#This Row],[Fernwärme Real]]*'Mapping RealwerteSpielwerte'!$C$25+heizkosten_baseline</calculatedColumnFormula>
    </tableColumn>
    <tableColumn id="5" xr3:uid="{00000000-0010-0000-0500-000005000000}" name="Grünes Gas" dataDxfId="21">
      <calculatedColumnFormula>-Table6_2[[#This Row],[Grünes Gas Real]]*'Mapping RealwerteSpielwerte'!$C$26+heizkosten_baseline</calculatedColumnFormula>
    </tableColumn>
    <tableColumn id="6" xr3:uid="{00000000-0010-0000-0500-000006000000}" name="Wärmepumpe" dataDxfId="20">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9"/>
    <tableColumn id="7" xr3:uid="{DB8D5F2F-7A4D-4517-BD90-EB468A9472F9}" name="Effizienz 0" dataDxfId="18">
      <calculatedColumnFormula>Table7[[#This Row],[HWB]]/real_zu_spiel_strombedarf/COP_0</calculatedColumnFormula>
    </tableColumn>
    <tableColumn id="2" xr3:uid="{00000000-0010-0000-0600-000002000000}" name="Effizienz 1" dataDxfId="17">
      <calculatedColumnFormula>Table7[[#This Row],[HWB]]/real_zu_spiel_strombedarf/COP_1</calculatedColumnFormula>
    </tableColumn>
    <tableColumn id="3" xr3:uid="{00000000-0010-0000-0600-000003000000}" name="Effizienz 2" dataDxfId="16">
      <calculatedColumnFormula>Table7[[#This Row],[HWB]]/real_zu_spiel_strombedarf/COP_2</calculatedColumnFormula>
    </tableColumn>
    <tableColumn id="4" xr3:uid="{00000000-0010-0000-0600-000004000000}" name="Effizienz 3" dataDxfId="15">
      <calculatedColumnFormula>Table7[[#This Row],[HWB]]/real_zu_spiel_strombedarf/COP_3</calculatedColumnFormula>
    </tableColumn>
    <tableColumn id="5" xr3:uid="{00000000-0010-0000-0600-000005000000}" name="Effizienz 4" dataDxfId="14">
      <calculatedColumnFormula>Table7[[#This Row],[HWB]]/real_zu_spiel_strombedarf/COP_4</calculatedColumnFormula>
    </tableColumn>
    <tableColumn id="6" xr3:uid="{00000000-0010-0000-0600-000006000000}" name="Effizienz 5" dataDxfId="13">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2">
      <calculatedColumnFormula>Table8[[#This Row],[Netzbezug]]*real_zu_spiel_netzbezug</calculatedColumnFormula>
    </tableColumn>
    <tableColumn id="12" xr3:uid="{7CF654A3-746E-45BB-8FE8-D85A1A2F26B3}" name="Kosten Real" dataDxfId="11">
      <calculatedColumnFormula>Table8[[#This Row],[Netzbezug Real]]*'Mapping RealwerteSpielwerte'!$B$27</calculatedColumnFormula>
    </tableColumn>
    <tableColumn id="2" xr3:uid="{00000000-0010-0000-0700-000002000000}" name="Budget" dataDxfId="10">
      <calculatedColumnFormula>-Table8[[#This Row],[Kosten Real]]*'Mapping RealwerteSpielwerte'!$C$27</calculatedColumnFormula>
    </tableColumn>
    <tableColumn id="8" xr3:uid="{CF2B80D5-564A-4F28-96D5-E05D40FB1362}" name="Emissionen Runde 1 Real" dataDxfId="9">
      <calculatedColumnFormula>Table8[[#This Row],[Netzbezug Real]]*real_zu_spiel_emissionsintensität_1*years_per_round</calculatedColumnFormula>
    </tableColumn>
    <tableColumn id="9" xr3:uid="{DDA1FEAD-C691-4D07-9868-BA59E3083198}" name="Emissionen Runde 2 Real" dataDxfId="8">
      <calculatedColumnFormula>Table8[[#This Row],[Netzbezug Real]]*real_zu_spiel_emissionsintensität_2*years_per_round</calculatedColumnFormula>
    </tableColumn>
    <tableColumn id="10" xr3:uid="{FA64A352-3640-4484-B5E7-A06D893CF066}" name="Emissionen Runde 3 Real" dataDxfId="7">
      <calculatedColumnFormula>Table8[[#This Row],[Netzbezug Real]]*real_zu_spiel_emissionsintensität_3*years_per_round</calculatedColumnFormula>
    </tableColumn>
    <tableColumn id="11" xr3:uid="{D2D0C651-2DB4-4AE8-8AC2-5459168B14AC}" name="Emissionen Runde 4 Real" dataDxfId="6">
      <calculatedColumnFormula>Table8[[#This Row],[Netzbezug Real]]*real_zu_spiel_emissionsintensität_4*years_per_round</calculatedColumnFormula>
    </tableColumn>
    <tableColumn id="3" xr3:uid="{00000000-0010-0000-0700-000003000000}" name="SP Runde 1" dataDxfId="5">
      <calculatedColumnFormula>Table8[[#This Row],[Netzbezug Real]]*real_zu_spiel_emissionsintensität_1*years_per_round</calculatedColumnFormula>
    </tableColumn>
    <tableColumn id="4" xr3:uid="{00000000-0010-0000-0700-000004000000}" name="SP Runde 2" dataDxfId="4">
      <calculatedColumnFormula>Table8[[#This Row],[Netzbezug Real]]*real_zu_spiel_emissionsintensität_2*years_per_round</calculatedColumnFormula>
    </tableColumn>
    <tableColumn id="5" xr3:uid="{00000000-0010-0000-0700-000005000000}" name="SP Runde 3" dataDxfId="3">
      <calculatedColumnFormula>Table8[[#This Row],[Netzbezug Real]]*real_zu_spiel_emissionsintensität_3*years_per_round</calculatedColumnFormula>
    </tableColumn>
    <tableColumn id="6" xr3:uid="{00000000-0010-0000-0700-000006000000}" name="SP Runde 4" dataDxfId="2">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0"/>
  <sheetViews>
    <sheetView tabSelected="1" zoomScale="90" zoomScaleNormal="90" workbookViewId="0">
      <pane ySplit="1" topLeftCell="A2" activePane="bottomLeft" state="frozen"/>
      <selection pane="bottomLeft" activeCell="Z5" sqref="Z5"/>
    </sheetView>
  </sheetViews>
  <sheetFormatPr defaultColWidth="12.54296875" defaultRowHeight="15.75" customHeight="1" x14ac:dyDescent="0.25"/>
  <cols>
    <col min="1" max="1" width="33.453125" customWidth="1"/>
    <col min="2" max="2" width="16" customWidth="1"/>
    <col min="3" max="7" width="6.81640625" customWidth="1"/>
    <col min="8" max="8" width="11.1796875" style="134" customWidth="1"/>
    <col min="9" max="14" width="6.81640625" customWidth="1"/>
    <col min="15" max="22" width="9.453125" customWidth="1"/>
    <col min="23" max="23" width="23.7265625" customWidth="1"/>
    <col min="24" max="24" width="19.81640625" customWidth="1"/>
    <col min="25" max="25" width="19.453125" customWidth="1"/>
  </cols>
  <sheetData>
    <row r="1" spans="1:28" ht="149.25" customHeight="1" x14ac:dyDescent="0.25">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c r="Z1" s="3" t="s">
        <v>347</v>
      </c>
      <c r="AA1" t="s">
        <v>346</v>
      </c>
      <c r="AB1" t="s">
        <v>105</v>
      </c>
    </row>
    <row r="2" spans="1:28" ht="22.5" customHeight="1" x14ac:dyDescent="0.25">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c r="Z2" s="40" t="str">
        <f t="shared" ref="Z2:Z33" si="0">_xlfn.TEXTJOIN("&amp;nbsp;",TRUE,IF(F2&lt;&gt;0,IF(F2&gt;0,"+"&amp;F2,F2)&amp;"EN",""),IF(H2&lt;&gt;0,IF(H2&gt;0,"+"&amp;H2,H2)&amp;"BM",""),IF(I2&lt;&gt;0,IF(I2&gt;0,"+"&amp;I2,I2)&amp;"SP",""),IF(J2&lt;&gt;0,IF(J2&gt;0,"+"&amp;J2,J2)&amp;"FL",""),IF(K2&lt;&gt;0,IF(K2&gt;0,"+"&amp;K2,K2)&amp;"WS",""),IF(L2&lt;&gt;0,IF(L2&gt;0,"+"&amp;L2,L2)&amp;"EF",""),IF(M2&lt;&gt;0,IF(M2&gt;0,"+"&amp;M2,M2)&amp;"ZU",""),IF(D2&lt;&gt;0,D2,""))</f>
        <v>+1SP</v>
      </c>
      <c r="AA2" t="str">
        <f>_xlfn.TEXTJOIN(
"XX",
TRUE,
IF(OR(F2="",F2=0),"",REPT(IF(F2&gt;0,"EN","EM"),ABS(F2))),
IF(OR(H2="",H2=0),"",REPT(IF(H2&gt;0,"BM","BP"),ABS(H2))),
REPT("SP",I2),
REPT("FL",J2),
REPT("WS",K2),
REPT("EF",L2),
IF(OR(M2="",M2=0),"",REPT(IF(M2&gt;0,"ZU","ZM"),ABS(M2))),
IF(D2="FW","XXFW",IF(D2="BIO","XXBI",IF(D2="ABWWP","XXWP",IF(D2="WP","XXWP",IF(D2="GG","XXGG","")))))
)</f>
        <v>SP</v>
      </c>
      <c r="AB2" t="str">
        <f>CHAR(34)&amp;VLOOKUP(Table1[[#This Row],[Name]],'Massnahmenkarten Texte'!A:C,3,FALSE)&amp;CHAR(34)</f>
        <v>"Ein Balkonkraftwerk hat nur maximal 800 Watt (etwa zwei Paneele), bietet aber den Vorteil einer einfacheren Installation und Bedienung."</v>
      </c>
    </row>
    <row r="3" spans="1:28" ht="22.5" customHeight="1" x14ac:dyDescent="0.25">
      <c r="A3" s="55" t="s">
        <v>48</v>
      </c>
      <c r="B3" s="34" t="s">
        <v>33</v>
      </c>
      <c r="C3" s="14">
        <v>1</v>
      </c>
      <c r="D3" s="45"/>
      <c r="E3" s="15">
        <v>1</v>
      </c>
      <c r="F3" s="36">
        <v>-3</v>
      </c>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43"/>
      <c r="X3" s="43"/>
      <c r="Y3" s="43"/>
      <c r="Z3" s="43" t="str">
        <f t="shared" si="0"/>
        <v>-3EN&amp;nbsp;+1BM</v>
      </c>
      <c r="AA3" t="str">
        <f>_xlfn.TEXTJOIN(
"XX",
TRUE,
IF(OR(F3="",F3=0),"",REPT(IF(F3&gt;0,"EN","EM"),ABS(F3))),
IF(OR(H3="",H3=0),"",REPT(IF(H3&gt;0,"BM","BP"),ABS(H3))),
REPT("SP",I3),
REPT("FL",J3),
REPT("WS",K3),
REPT("EF",L3),
IF(OR(M3="",M3=0),"",REPT(IF(M3&gt;0,"ZU","ZM"),ABS(M3))),
IF(D3="FW","XXFW",IF(D3="BIO","XXBI",IF(D3="ABWWP","XXWP",IF(D3="WP","XXWP",IF(D3="GG","XXGG","")))))
)</f>
        <v>EMEMEMXXBM</v>
      </c>
      <c r="AB3" t="str">
        <f>CHAR(34)&amp;VLOOKUP(Table1[[#This Row],[Name]],'Massnahmenkarten Texte'!A:C,3,FALSE)&amp;CHAR(34)</f>
        <v>"Ein E-Herd ersetzt das Kochen mit Gas und reduziert damit die direkte Nutzung fossiler Energie in der Wohnung. Er erhöht den Strombedarf etwas, ist aber einfach umsetzbar und verbessert die Alltagstauglichkeit eines vollständig elektrifizierten Gebäudes."</v>
      </c>
    </row>
    <row r="4" spans="1:28" ht="22.5" customHeight="1" x14ac:dyDescent="0.25">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c r="Z4" s="115" t="str">
        <f t="shared" si="0"/>
        <v>+4SP</v>
      </c>
      <c r="AA4" t="str">
        <f>_xlfn.TEXTJOIN(
"XX",
TRUE,
IF(OR(F4="",F4=0),"",REPT(IF(F4&gt;0,"EN","EM"),ABS(F4))),
IF(OR(H4="",H4=0),"",REPT(IF(H4&gt;0,"BM","BP"),ABS(H4))),
REPT("SP",I4),
REPT("FL",J4),
REPT("WS",K4),
REPT("EF",L4),
IF(OR(M4="",M4=0),"",REPT(IF(M4&gt;0,"ZU","ZM"),ABS(M4))),
IF(D4="FW","XXFW",IF(D4="BIO","XXBI",IF(D4="ABWWP","XXWP",IF(D4="WP","XXWP",IF(D4="GG","XXGG","")))))
)</f>
        <v>SPSPSPSP</v>
      </c>
      <c r="AB4" t="str">
        <f>CHAR(34)&amp;VLOOKUP(Table1[[#This Row],[Name]],'Massnahmenkarten Texte'!A:C,3,FALSE)&amp;CHAR(34)</f>
        <v>"Fassaden-PV nutzt zusätzlich zur Dachfläche auch die Gebäudehülle zur Stromerzeugung. Sie ist teurer und stärker von Orientierung, Verschattung und Gestaltung abhängig, kann aber zusätzliche Emissionen einsparen, wenn das Dachpotenzial begrenzt ist."</v>
      </c>
    </row>
    <row r="5" spans="1:28" ht="22.5" customHeight="1" x14ac:dyDescent="0.25">
      <c r="A5" s="33" t="s">
        <v>74</v>
      </c>
      <c r="B5" s="34" t="s">
        <v>33</v>
      </c>
      <c r="C5" s="14">
        <v>1</v>
      </c>
      <c r="D5" s="35"/>
      <c r="E5" s="15">
        <v>1</v>
      </c>
      <c r="F5" s="16"/>
      <c r="G5" s="17">
        <f>Table1[[#This Row],[REAL Sofort CO2]]/kgemission_per_sp</f>
        <v>0</v>
      </c>
      <c r="H5" s="131">
        <f>Table1[[#This Row],[REAL Strombedarf]]/real_zu_spiel_strombedarf</f>
        <v>-2</v>
      </c>
      <c r="I5" s="19">
        <f>Table1[[#This Row],[REAL Stromproduktion]]/real_zu_spiel_stromproduktion</f>
        <v>0</v>
      </c>
      <c r="J5" s="20">
        <f>Table1[[#This Row],[REAL Stromspeicher]]/real_zu_spiel_stromspeicher</f>
        <v>0</v>
      </c>
      <c r="K5" s="21"/>
      <c r="L5" s="39"/>
      <c r="M5" s="23"/>
      <c r="N5" s="24"/>
      <c r="O5" s="25"/>
      <c r="P5" s="16"/>
      <c r="Q5" s="17"/>
      <c r="R5" s="18">
        <v>-10</v>
      </c>
      <c r="S5" s="19"/>
      <c r="T5" s="20"/>
      <c r="U5" s="21"/>
      <c r="V5" s="39"/>
      <c r="W5" s="40"/>
      <c r="X5" s="40"/>
      <c r="Y5" s="40"/>
      <c r="Z5" s="40" t="str">
        <f t="shared" si="0"/>
        <v>-2BM</v>
      </c>
      <c r="AA5" t="str">
        <f>_xlfn.TEXTJOIN(
"XX",
TRUE,
IF(OR(F5="",F5=0),"",REPT(IF(F5&gt;0,"EN","EM"),ABS(F5))),
IF(OR(H5="",H5=0),"",REPT(IF(H5&gt;0,"BM","BP"),ABS(H5))),
REPT("SP",I5),
REPT("FL",J5),
REPT("WS",K5),
REPT("EF",L5),
IF(OR(M5="",M5=0),"",REPT(IF(M5&gt;0,"ZU","ZM"),ABS(M5))),
IF(D5="FW","XXFW",IF(D5="BIO","XXBI",IF(D5="ABWWP","XXWP",IF(D5="WP","XXWP",IF(D5="GG","XXGG","")))))
)</f>
        <v>BPBP</v>
      </c>
      <c r="AB5" t="str">
        <f>CHAR(34)&amp;VLOOKUP(Table1[[#This Row],[Name]],'Massnahmenkarten Texte'!A:C,3,FALSE)&amp;CHAR(34)</f>
        <v>"LED-Beleuchtung ersetzt alte Leuchtmittel und senkt den Strombedarf für Beleuchtung deutlich. Sie ist günstig, einfach umzusetzen und verbessert je nach Bestand auch Lichtqualität und Nutzerzufriedenheit."</v>
      </c>
    </row>
    <row r="6" spans="1:28" ht="22.5" customHeight="1" x14ac:dyDescent="0.25">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c r="Z6" s="32" t="str">
        <f t="shared" si="0"/>
        <v>+1EF</v>
      </c>
      <c r="AA6" t="str">
        <f>_xlfn.TEXTJOIN(
"XX",
TRUE,
IF(OR(F6="",F6=0),"",REPT(IF(F6&gt;0,"EN","EM"),ABS(F6))),
IF(OR(H6="",H6=0),"",REPT(IF(H6&gt;0,"BM","BP"),ABS(H6))),
REPT("SP",I6),
REPT("FL",J6),
REPT("WS",K6),
REPT("EF",L6),
IF(OR(M6="",M6=0),"",REPT(IF(M6&gt;0,"ZU","ZM"),ABS(M6))),
IF(D6="FW","XXFW",IF(D6="BIO","XXBI",IF(D6="ABWWP","XXWP",IF(D6="WP","XXWP",IF(D6="GG","XXGG","")))))
)</f>
        <v>EF</v>
      </c>
      <c r="AB6" t="str">
        <f>CHAR(34)&amp;VLOOKUP(Table1[[#This Row],[Name]],'Massnahmenkarten Texte'!A:C,3,FALSE)&amp;CHAR(34)</f>
        <v>"Die Wärme des abfließenden Duschwassers wird genutzt, um frisches Wasser vorzuwärmen. Dadurch müssen Wärmepumpen weniger leisten und arbeitet effizienter, der Einbau ist aber technisch nur bei passenden Leitungswegen sinnvoll."</v>
      </c>
    </row>
    <row r="7" spans="1:28" ht="22.5" customHeight="1" x14ac:dyDescent="0.25">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c r="Z7" s="32" t="str">
        <f t="shared" si="0"/>
        <v>-2BM&amp;nbsp;+4FL&amp;nbsp;-1ZU</v>
      </c>
      <c r="AA7" t="str">
        <f>_xlfn.TEXTJOIN(
"XX",
TRUE,
IF(OR(F7="",F7=0),"",REPT(IF(F7&gt;0,"EN","EM"),ABS(F7))),
IF(OR(H7="",H7=0),"",REPT(IF(H7&gt;0,"BM","BP"),ABS(H7))),
REPT("SP",I7),
REPT("FL",J7),
REPT("WS",K7),
REPT("EF",L7),
IF(OR(M7="",M7=0),"",REPT(IF(M7&gt;0,"ZU","ZM"),ABS(M7))),
IF(D7="FW","XXFW",IF(D7="BIO","XXBI",IF(D7="ABWWP","XXWP",IF(D7="WP","XXWP",IF(D7="GG","XXGG","")))))
)</f>
        <v>BPBPXXFLFLFLFLXXZM</v>
      </c>
      <c r="AB7" t="str">
        <f>CHAR(34)&amp;VLOOKUP(Table1[[#This Row],[Name]],'Massnahmenkarten Texte'!A:C,3,FALSE)&amp;CHAR(34)</f>
        <v>"Ermöglicht die Lastverschiebung über den elektrischen Speicher der E-Auto-Batterie, der Abends wieder teilweise entladen wird. Die Unterstützung der Nutzer ist allerdings nötig."</v>
      </c>
    </row>
    <row r="8" spans="1:28" ht="22.5" customHeight="1" x14ac:dyDescent="0.25">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c r="Z8" s="138" t="str">
        <f t="shared" si="0"/>
        <v>-2BM&amp;nbsp;-1ZU</v>
      </c>
      <c r="AA8" t="str">
        <f>_xlfn.TEXTJOIN(
"XX",
TRUE,
IF(OR(F8="",F8=0),"",REPT(IF(F8&gt;0,"EN","EM"),ABS(F8))),
IF(OR(H8="",H8=0),"",REPT(IF(H8&gt;0,"BM","BP"),ABS(H8))),
REPT("SP",I8),
REPT("FL",J8),
REPT("WS",K8),
REPT("EF",L8),
IF(OR(M8="",M8=0),"",REPT(IF(M8&gt;0,"ZU","ZM"),ABS(M8))),
IF(D8="FW","XXFW",IF(D8="BIO","XXBI",IF(D8="ABWWP","XXWP",IF(D8="WP","XXWP",IF(D8="GG","XXGG","")))))
)</f>
        <v>BPBPXXZM</v>
      </c>
      <c r="AB8" t="str">
        <f>CHAR(34)&amp;VLOOKUP(Table1[[#This Row],[Name]],'Massnahmenkarten Texte'!A:C,3,FALSE)&amp;CHAR(34)</f>
        <v>"Effizienteste Haushaltsgeräte können den dStromverbrauch deutlich reduzieren"</v>
      </c>
    </row>
    <row r="9" spans="1:28" ht="22.5" customHeight="1" x14ac:dyDescent="0.25">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c r="Z9" s="43" t="str">
        <f t="shared" si="0"/>
        <v>+1BM&amp;nbsp;+4FL&amp;nbsp;-1ZU</v>
      </c>
      <c r="AA9" t="str">
        <f>_xlfn.TEXTJOIN(
"XX",
TRUE,
IF(OR(F9="",F9=0),"",REPT(IF(F9&gt;0,"EN","EM"),ABS(F9))),
IF(OR(H9="",H9=0),"",REPT(IF(H9&gt;0,"BM","BP"),ABS(H9))),
REPT("SP",I9),
REPT("FL",J9),
REPT("WS",K9),
REPT("EF",L9),
IF(OR(M9="",M9=0),"",REPT(IF(M9&gt;0,"ZU","ZM"),ABS(M9))),
IF(D9="FW","XXFW",IF(D9="BIO","XXBI",IF(D9="ABWWP","XXWP",IF(D9="WP","XXWP",IF(D9="GG","XXGG","")))))
)</f>
        <v>BMXXFLFLFLFLXXZM</v>
      </c>
      <c r="AB9" t="str">
        <f>CHAR(34)&amp;VLOOKUP(Table1[[#This Row],[Name]],'Massnahmenkarten Texte'!A:C,3,FALSE)&amp;CHAR(34)</f>
        <v>"Wenn die Nutzer mitspielen, können Verbraucher wie Waschmaschinen oder Geschirrspüler dann einschalten, wenn Erneuerbare zur Verfügung stehen."</v>
      </c>
    </row>
    <row r="10" spans="1:28" ht="22.5" customHeight="1" x14ac:dyDescent="0.25">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c r="Z10" s="43" t="str">
        <f t="shared" si="0"/>
        <v>+5FL</v>
      </c>
      <c r="AA10" t="str">
        <f>_xlfn.TEXTJOIN(
"XX",
TRUE,
IF(OR(F10="",F10=0),"",REPT(IF(F10&gt;0,"EN","EM"),ABS(F10))),
IF(OR(H10="",H10=0),"",REPT(IF(H10&gt;0,"BM","BP"),ABS(H10))),
REPT("SP",I10),
REPT("FL",J10),
REPT("WS",K10),
REPT("EF",L10),
IF(OR(M10="",M10=0),"",REPT(IF(M10&gt;0,"ZU","ZM"),ABS(M10))),
IF(D10="FW","XXFW",IF(D10="BIO","XXBI",IF(D10="ABWWP","XXWP",IF(D10="WP","XXWP",IF(D10="GG","XXGG","")))))
)</f>
        <v>FLFLFLFLFL</v>
      </c>
      <c r="AB10" t="str">
        <f>CHAR(34)&amp;VLOOKUP(Table1[[#This Row],[Name]],'Massnahmenkarten Texte'!A:C,3,FALSE)&amp;CHAR(34)</f>
        <v>"Batteriespeicher werden immer günstiger. Sie können den eigenen PV-Strom in  den Abend retten und vermeiden so dreckigeren Netzbezug."</v>
      </c>
    </row>
    <row r="11" spans="1:28" ht="22.5" customHeight="1" x14ac:dyDescent="0.25">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c r="Z11" s="40" t="str">
        <f t="shared" si="0"/>
        <v>+2FL</v>
      </c>
      <c r="AA11" t="str">
        <f>_xlfn.TEXTJOIN(
"XX",
TRUE,
IF(OR(F11="",F11=0),"",REPT(IF(F11&gt;0,"EN","EM"),ABS(F11))),
IF(OR(H11="",H11=0),"",REPT(IF(H11&gt;0,"BM","BP"),ABS(H11))),
REPT("SP",I11),
REPT("FL",J11),
REPT("WS",K11),
REPT("EF",L11),
IF(OR(M11="",M11=0),"",REPT(IF(M11&gt;0,"ZU","ZM"),ABS(M11))),
IF(D11="FW","XXFW",IF(D11="BIO","XXBI",IF(D11="ABWWP","XXWP",IF(D11="WP","XXWP",IF(D11="GG","XXGG","")))))
)</f>
        <v>FLFL</v>
      </c>
      <c r="AB11" t="str">
        <f>CHAR(34)&amp;VLOOKUP(Table1[[#This Row],[Name]],'Massnahmenkarten Texte'!A:C,3,FALSE)&amp;CHAR(34)</f>
        <v>"Batteriespeicher werden immer günstiger. Sie können den eigenen PV-Strom in  den Abend retten und vermeiden so dreckigeren Netzbezug."</v>
      </c>
    </row>
    <row r="12" spans="1:28" ht="22.5" customHeight="1" x14ac:dyDescent="0.25">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c r="Z12" s="54" t="str">
        <f t="shared" si="0"/>
        <v>+2FL&amp;nbsp;-1ZU</v>
      </c>
      <c r="AA12" t="str">
        <f>_xlfn.TEXTJOIN(
"XX",
TRUE,
IF(OR(F12="",F12=0),"",REPT(IF(F12&gt;0,"EN","EM"),ABS(F12))),
IF(OR(H12="",H12=0),"",REPT(IF(H12&gt;0,"BM","BP"),ABS(H12))),
REPT("SP",I12),
REPT("FL",J12),
REPT("WS",K12),
REPT("EF",L12),
IF(OR(M12="",M12=0),"",REPT(IF(M12&gt;0,"ZU","ZM"),ABS(M12))),
IF(D12="FW","XXFW",IF(D12="BIO","XXBI",IF(D12="ABWWP","XXWP",IF(D12="WP","XXWP",IF(D12="GG","XXGG","")))))
)</f>
        <v>FLFLXXZM</v>
      </c>
      <c r="AB12" t="str">
        <f>CHAR(34)&amp;VLOOKUP(Table1[[#This Row],[Name]],'Massnahmenkarten Texte'!A:C,3,FALSE)&amp;CHAR(34)</f>
        <v>"Wenn die Nutzer es zulassen, können Wärmepumpen zusätzlichen Strom im Gebäude als Wärme (oder im Sommer durch zusätzliche Kühlung)  speichern. So lassen sich noch mehr Erneuerbare einsetzen."</v>
      </c>
    </row>
    <row r="13" spans="1:28" ht="22.5" customHeight="1" x14ac:dyDescent="0.25">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c r="Z13" s="43" t="str">
        <f t="shared" si="0"/>
        <v>+1ZU</v>
      </c>
      <c r="AA13" t="str">
        <f>_xlfn.TEXTJOIN(
"XX",
TRUE,
IF(OR(F13="",F13=0),"",REPT(IF(F13&gt;0,"EN","EM"),ABS(F13))),
IF(OR(H13="",H13=0),"",REPT(IF(H13&gt;0,"BM","BP"),ABS(H13))),
REPT("SP",I13),
REPT("FL",J13),
REPT("WS",K13),
REPT("EF",L13),
IF(OR(M13="",M13=0),"",REPT(IF(M13&gt;0,"ZU","ZM"),ABS(M13))),
IF(D13="FW","XXFW",IF(D13="BIO","XXBI",IF(D13="ABWWP","XXWP",IF(D13="WP","XXWP",IF(D13="GG","XXGG","")))))
)</f>
        <v>ZU</v>
      </c>
      <c r="AB13" t="str">
        <f>CHAR(34)&amp;VLOOKUP(Table1[[#This Row],[Name]],'Massnahmenkarten Texte'!A:C,3,FALSE)&amp;CHAR(34)</f>
        <v>"Ein Balkon erhöht die Wohnqualität und schafft privaten Freiraum im Bestand. Er bringt Zufriedenheit, verursacht aber zusätzliche Kosten und etwas graue Emissionen durch die neue Konstruktion."</v>
      </c>
    </row>
    <row r="14" spans="1:28" ht="22.5" customHeight="1" x14ac:dyDescent="0.25">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c r="Z14" s="43" t="str">
        <f t="shared" si="0"/>
        <v>+1ZU</v>
      </c>
      <c r="AA14" t="str">
        <f>_xlfn.TEXTJOIN(
"XX",
TRUE,
IF(OR(F14="",F14=0),"",REPT(IF(F14&gt;0,"EN","EM"),ABS(F14))),
IF(OR(H14="",H14=0),"",REPT(IF(H14&gt;0,"BM","BP"),ABS(H14))),
REPT("SP",I14),
REPT("FL",J14),
REPT("WS",K14),
REPT("EF",L14),
IF(OR(M14="",M14=0),"",REPT(IF(M14&gt;0,"ZU","ZM"),ABS(M14))),
IF(D14="FW","XXFW",IF(D14="BIO","XXBI",IF(D14="ABWWP","XXWP",IF(D14="WP","XXWP",IF(D14="GG","XXGG","")))))
)</f>
        <v>ZU</v>
      </c>
      <c r="AB14" t="str">
        <f>CHAR(34)&amp;VLOOKUP(Table1[[#This Row],[Name]],'Massnahmenkarten Texte'!A:C,3,FALSE)&amp;CHAR(34)</f>
        <v>"Ein barrierefreier Zugang macht das Gebäude für alle einfacher und sicherer nutzbar, besonders mit Kinderwagen, Rollstuhl oder Gehhilfe. Er erhöht die Nutzerzufriedenheit spürbar, verursacht aber je nach Bestand baulichen Aufwand und Kosten."</v>
      </c>
    </row>
    <row r="15" spans="1:28" ht="22.5" customHeight="1" x14ac:dyDescent="0.25">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c r="Z15" s="43" t="str">
        <f t="shared" si="0"/>
        <v>+4BM&amp;nbsp;+6FL&amp;nbsp;+1ZU</v>
      </c>
      <c r="AA15" t="str">
        <f>_xlfn.TEXTJOIN(
"XX",
TRUE,
IF(OR(F15="",F15=0),"",REPT(IF(F15&gt;0,"EN","EM"),ABS(F15))),
IF(OR(H15="",H15=0),"",REPT(IF(H15&gt;0,"BM","BP"),ABS(H15))),
REPT("SP",I15),
REPT("FL",J15),
REPT("WS",K15),
REPT("EF",L15),
IF(OR(M15="",M15=0),"",REPT(IF(M15&gt;0,"ZU","ZM"),ABS(M15))),
IF(D15="FW","XXFW",IF(D15="BIO","XXBI",IF(D15="ABWWP","XXWP",IF(D15="WP","XXWP",IF(D15="GG","XXGG","")))))
)</f>
        <v>BMBMBMBMXXFLFLFLFLFLFLXXZU</v>
      </c>
      <c r="AB15" t="str">
        <f>CHAR(34)&amp;VLOOKUP(Table1[[#This Row],[Name]],'Massnahmenkarten Texte'!A:C,3,FALSE)&amp;CHAR(34)</f>
        <v>"Ladepunkte machen das Gebäude attraktiver für Nutzer:innen mit E-Autos. Sie steigern den Strombedarf, können aber auch als flexible Speichermöglichkeit genutzt werden (in Kombination mit "Bi-Direktionalem Laden")."</v>
      </c>
    </row>
    <row r="16" spans="1:28" ht="22.5" customHeight="1" x14ac:dyDescent="0.25">
      <c r="A16" s="57" t="s">
        <v>51</v>
      </c>
      <c r="B16" s="34" t="s">
        <v>31</v>
      </c>
      <c r="C16" s="14">
        <v>1</v>
      </c>
      <c r="D16" s="49"/>
      <c r="E16" s="15">
        <v>2</v>
      </c>
      <c r="F16" s="36">
        <v>-1</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c r="Z16" s="114" t="str">
        <f t="shared" si="0"/>
        <v>-1EN&amp;nbsp;+1ZU</v>
      </c>
      <c r="AA16" t="str">
        <f>_xlfn.TEXTJOIN(
"XX",
TRUE,
IF(OR(F16="",F16=0),"",REPT(IF(F16&gt;0,"EN","EM"),ABS(F16))),
IF(OR(H16="",H16=0),"",REPT(IF(H16&gt;0,"BM","BP"),ABS(H16))),
REPT("SP",I16),
REPT("FL",J16),
REPT("WS",K16),
REPT("EF",L16),
IF(OR(M16="",M16=0),"",REPT(IF(M16&gt;0,"ZU","ZM"),ABS(M16))),
IF(D16="FW","XXFW",IF(D16="BIO","XXBI",IF(D16="ABWWP","XXWP",IF(D16="WP","XXWP",IF(D16="GG","XXGG","")))))
)</f>
        <v>EMXXZU</v>
      </c>
      <c r="AB16" t="str">
        <f>CHAR(34)&amp;VLOOKUP(Table1[[#This Row],[Name]],'Massnahmenkarten Texte'!A:C,3,FALSE)&amp;CHAR(34)</f>
        <v>"Begrünte Fassaden verbessern das Mikroklima, spenden Schatten und machen das Gebäude attraktiver. Sie erhöhen die Nutzerzufriedenheit leicht und helfen, Emissionen durch geringeren Kühlbedarf etwas zu senken."</v>
      </c>
    </row>
    <row r="17" spans="1:28" ht="22.5" customHeight="1" x14ac:dyDescent="0.25">
      <c r="A17" s="33" t="s">
        <v>71</v>
      </c>
      <c r="B17" s="34" t="s">
        <v>31</v>
      </c>
      <c r="C17" s="14">
        <v>0</v>
      </c>
      <c r="D17" s="35"/>
      <c r="E17" s="15">
        <v>999</v>
      </c>
      <c r="F17" s="36">
        <v>-2</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c r="Z17" s="40" t="str">
        <f t="shared" si="0"/>
        <v>-2EN&amp;nbsp;+1WS</v>
      </c>
      <c r="AA17" t="str">
        <f>_xlfn.TEXTJOIN(
"XX",
TRUE,
IF(OR(F17="",F17=0),"",REPT(IF(F17&gt;0,"EN","EM"),ABS(F17))),
IF(OR(H17="",H17=0),"",REPT(IF(H17&gt;0,"BM","BP"),ABS(H17))),
REPT("SP",I17),
REPT("FL",J17),
REPT("WS",K17),
REPT("EF",L17),
IF(OR(M17="",M17=0),"",REPT(IF(M17&gt;0,"ZU","ZM"),ABS(M17))),
IF(D17="FW","XXFW",IF(D17="BIO","XXBI",IF(D17="ABWWP","XXWP",IF(D17="WP","XXWP",IF(D17="GG","XXGG","")))))
)</f>
        <v>EMEMXXWS</v>
      </c>
      <c r="AB17" t="str">
        <f>CHAR(34)&amp;VLOOKUP(Table1[[#This Row],[Name]],'Massnahmenkarten Texte'!A:C,3,FALSE)&amp;CHAR(34)</f>
        <v>"Substrat für grosse Pflanzen und Bäume. Bietet etwas Kohlenstoffspeicherung und Wärmeschutz, dafür aufwendiger in der Pflege."</v>
      </c>
    </row>
    <row r="18" spans="1:28" ht="22.5" customHeight="1" x14ac:dyDescent="0.25">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c r="Z18" s="40" t="str">
        <f t="shared" si="0"/>
        <v>+1BM&amp;nbsp;+2ZU</v>
      </c>
      <c r="AA18" t="str">
        <f>_xlfn.TEXTJOIN(
"XX",
TRUE,
IF(OR(F18="",F18=0),"",REPT(IF(F18&gt;0,"EN","EM"),ABS(F18))),
IF(OR(H18="",H18=0),"",REPT(IF(H18&gt;0,"BM","BP"),ABS(H18))),
REPT("SP",I18),
REPT("FL",J18),
REPT("WS",K18),
REPT("EF",L18),
IF(OR(M18="",M18=0),"",REPT(IF(M18&gt;0,"ZU","ZM"),ABS(M18))),
IF(D18="FW","XXFW",IF(D18="BIO","XXBI",IF(D18="ABWWP","XXWP",IF(D18="WP","XXWP",IF(D18="GG","XXGG","")))))
)</f>
        <v>BMXXZUZU</v>
      </c>
      <c r="AB18" t="str">
        <f>CHAR(34)&amp;VLOOKUP(Table1[[#This Row],[Name]],'Massnahmenkarten Texte'!A:C,3,FALSE)&amp;CHAR(34)</f>
        <v>"Ein Lift macht das Gebäude komfortabler und auch im Alter oder bei eingeschränkter Mobilität gut nutzbar. Er bringt viel Nutzerzufriedenheit, ist aber teuer und erfordert größere bauliche Eingriffe."</v>
      </c>
    </row>
    <row r="19" spans="1:28" ht="22.5" customHeight="1" x14ac:dyDescent="0.25">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c r="Z19" s="138" t="str">
        <f t="shared" si="0"/>
        <v>+1EF&amp;nbsp;+1ZU</v>
      </c>
      <c r="AA19" t="str">
        <f>_xlfn.TEXTJOIN(
"XX",
TRUE,
IF(OR(F19="",F19=0),"",REPT(IF(F19&gt;0,"EN","EM"),ABS(F19))),
IF(OR(H19="",H19=0),"",REPT(IF(H19&gt;0,"BM","BP"),ABS(H19))),
REPT("SP",I19),
REPT("FL",J19),
REPT("WS",K19),
REPT("EF",L19),
IF(OR(M19="",M19=0),"",REPT(IF(M19&gt;0,"ZU","ZM"),ABS(M19))),
IF(D19="FW","XXFW",IF(D19="BIO","XXBI",IF(D19="ABWWP","XXWP",IF(D19="WP","XXWP",IF(D19="GG","XXGG","")))))
)</f>
        <v>EFXXZU</v>
      </c>
      <c r="AB19" t="str">
        <f>CHAR(34)&amp;VLOOKUP(Table1[[#This Row],[Name]],'Massnahmenkarten Texte'!A:C,3,FALSE)&amp;CHAR(34)</f>
        <v>"Reduziert die Sonneneinstrahlung und damit die nötige Kühlenergie im Sommer."</v>
      </c>
    </row>
    <row r="20" spans="1:28" ht="22.5" customHeight="1" x14ac:dyDescent="0.25">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c r="Z20" s="139" t="str">
        <f t="shared" si="0"/>
        <v>+2EF</v>
      </c>
      <c r="AA20" t="str">
        <f>_xlfn.TEXTJOIN(
"XX",
TRUE,
IF(OR(F20="",F20=0),"",REPT(IF(F20&gt;0,"EN","EM"),ABS(F20))),
IF(OR(H20="",H20=0),"",REPT(IF(H20&gt;0,"BM","BP"),ABS(H20))),
REPT("SP",I20),
REPT("FL",J20),
REPT("WS",K20),
REPT("EF",L20),
IF(OR(M20="",M20=0),"",REPT(IF(M20&gt;0,"ZU","ZM"),ABS(M20))),
IF(D20="FW","XXFW",IF(D20="BIO","XXBI",IF(D20="ABWWP","XXWP",IF(D20="WP","XXWP",IF(D20="GG","XXGG","")))))
)</f>
        <v>EFEF</v>
      </c>
      <c r="AB20" t="str">
        <f>CHAR(34)&amp;VLOOKUP(Table1[[#This Row],[Name]],'Massnahmenkarten Texte'!A:C,3,FALSE)&amp;CHAR(34)</f>
        <v>"Eine Deckenheizung gibt Wärme über große Flächen ab und ermöglicht niedrige Vorlauftemperaturen. Dadurch arbeiten Wärmepumpen effizienter, während Planung, Regelung und Nutzerakzeptanz gut gelöst werden müssen."</v>
      </c>
    </row>
    <row r="21" spans="1:28" ht="22.5" customHeight="1" x14ac:dyDescent="0.25">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c r="Z21" s="32" t="str">
        <f t="shared" si="0"/>
        <v>+2EF&amp;nbsp;+1ZU</v>
      </c>
      <c r="AA21" t="str">
        <f>_xlfn.TEXTJOIN(
"XX",
TRUE,
IF(OR(F21="",F21=0),"",REPT(IF(F21&gt;0,"EN","EM"),ABS(F21))),
IF(OR(H21="",H21=0),"",REPT(IF(H21&gt;0,"BM","BP"),ABS(H21))),
REPT("SP",I21),
REPT("FL",J21),
REPT("WS",K21),
REPT("EF",L21),
IF(OR(M21="",M21=0),"",REPT(IF(M21&gt;0,"ZU","ZM"),ABS(M21))),
IF(D21="FW","XXFW",IF(D21="BIO","XXBI",IF(D21="ABWWP","XXWP",IF(D21="WP","XXWP",IF(D21="GG","XXGG","")))))
)</f>
        <v>EFEFXXZU</v>
      </c>
      <c r="AB21" t="str">
        <f>CHAR(34)&amp;VLOOKUP(Table1[[#This Row],[Name]],'Massnahmenkarten Texte'!A:C,3,FALSE)&amp;CHAR(34)</f>
        <v>"Eine Fußbodenheizung gibt Wärme über große Flächen ab, ist komfortabel und ermöglicht niedrige Vorlauftemperaturen. Dadurch arbeiten Wärmepumpen effizienter; im Bestand sind aber Bodenaufbau, Bauaufwand und die eher träge Regelung zu beachten."</v>
      </c>
    </row>
    <row r="22" spans="1:28" ht="22.5" customHeight="1" x14ac:dyDescent="0.25">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c r="Z22" s="32" t="str">
        <f t="shared" si="0"/>
        <v>+1EF</v>
      </c>
      <c r="AA22" t="str">
        <f>_xlfn.TEXTJOIN(
"XX",
TRUE,
IF(OR(F22="",F22=0),"",REPT(IF(F22&gt;0,"EN","EM"),ABS(F22))),
IF(OR(H22="",H22=0),"",REPT(IF(H22&gt;0,"BM","BP"),ABS(H22))),
REPT("SP",I22),
REPT("FL",J22),
REPT("WS",K22),
REPT("EF",L22),
IF(OR(M22="",M22=0),"",REPT(IF(M22&gt;0,"ZU","ZM"),ABS(M22))),
IF(D22="FW","XXFW",IF(D22="BIO","XXBI",IF(D22="ABWWP","XXWP",IF(D22="WP","XXWP",IF(D22="GG","XXGG","")))))
)</f>
        <v>EF</v>
      </c>
      <c r="AB22" t="str">
        <f>CHAR(34)&amp;VLOOKUP(Table1[[#This Row],[Name]],'Massnahmenkarten Texte'!A:C,3,FALSE)&amp;CHAR(34)</f>
        <v>"Niedertemperatur-Radiatoren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v>
      </c>
    </row>
    <row r="23" spans="1:28" ht="22.5" customHeight="1" x14ac:dyDescent="0.25">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c r="Z23" s="54" t="str">
        <f t="shared" si="0"/>
        <v>+2EF&amp;nbsp;-1ZU</v>
      </c>
      <c r="AA23" t="str">
        <f>_xlfn.TEXTJOIN(
"XX",
TRUE,
IF(OR(F23="",F23=0),"",REPT(IF(F23&gt;0,"EN","EM"),ABS(F23))),
IF(OR(H23="",H23=0),"",REPT(IF(H23&gt;0,"BM","BP"),ABS(H23))),
REPT("SP",I23),
REPT("FL",J23),
REPT("WS",K23),
REPT("EF",L23),
IF(OR(M23="",M23=0),"",REPT(IF(M23&gt;0,"ZU","ZM"),ABS(M23))),
IF(D23="FW","XXFW",IF(D23="BIO","XXBI",IF(D23="ABWWP","XXWP",IF(D23="WP","XXWP",IF(D23="GG","XXGG","")))))
)</f>
        <v>EFEFXXZM</v>
      </c>
      <c r="AB23" t="str">
        <f>CHAR(34)&amp;VLOOKUP(Table1[[#This Row],[Name]],'Massnahmenkarten Texte'!A:C,3,FALSE)&amp;CHAR(34)</f>
        <v>"Radiatoren mit Lüftern erhöhen die Wärmeabgabe und können auch bei niedrigeren Vorlauftemperaturen gut funktionieren. Sie sind einfach nachzurüsten, können aber durch Geräusche oder Luftbewegung als störend empfunden werden."</v>
      </c>
    </row>
    <row r="24" spans="1:28" ht="22.5" customHeight="1" x14ac:dyDescent="0.25">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c r="Z24" s="54" t="str">
        <f t="shared" si="0"/>
        <v>+1BM&amp;nbsp;+1FL&amp;nbsp;+1WS&amp;nbsp;+1EF&amp;nbsp;+1ZU</v>
      </c>
      <c r="AA24" t="str">
        <f>_xlfn.TEXTJOIN(
"XX",
TRUE,
IF(OR(F24="",F24=0),"",REPT(IF(F24&gt;0,"EN","EM"),ABS(F24))),
IF(OR(H24="",H24=0),"",REPT(IF(H24&gt;0,"BM","BP"),ABS(H24))),
REPT("SP",I24),
REPT("FL",J24),
REPT("WS",K24),
REPT("EF",L24),
IF(OR(M24="",M24=0),"",REPT(IF(M24&gt;0,"ZU","ZM"),ABS(M24))),
IF(D24="FW","XXFW",IF(D24="BIO","XXBI",IF(D24="ABWWP","XXWP",IF(D24="WP","XXWP",IF(D24="GG","XXGG","")))))
)</f>
        <v>BMXXFLXXWSXXEFXXZU</v>
      </c>
      <c r="AB24" t="str">
        <f>CHAR(34)&amp;VLOOKUP(Table1[[#This Row],[Name]],'Massnahmenkarten Texte'!A:C,3,FALSE)&amp;CHAR(34)</f>
        <v>"Eine Beschreibung hier einfügen, kurz halten oder sie wird abgeschnitten"</v>
      </c>
    </row>
    <row r="25" spans="1:28" ht="22.5" customHeight="1" x14ac:dyDescent="0.25">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c r="Z25" s="32" t="str">
        <f t="shared" si="0"/>
        <v>+2EF</v>
      </c>
      <c r="AA25" t="str">
        <f>_xlfn.TEXTJOIN(
"XX",
TRUE,
IF(OR(F25="",F25=0),"",REPT(IF(F25&gt;0,"EN","EM"),ABS(F25))),
IF(OR(H25="",H25=0),"",REPT(IF(H25&gt;0,"BM","BP"),ABS(H25))),
REPT("SP",I25),
REPT("FL",J25),
REPT("WS",K25),
REPT("EF",L25),
IF(OR(M25="",M25=0),"",REPT(IF(M25&gt;0,"ZU","ZM"),ABS(M25))),
IF(D25="FW","XXFW",IF(D25="BIO","XXBI",IF(D25="ABWWP","XXWP",IF(D25="WP","XXWP",IF(D25="GG","XXGG","")))))
)</f>
        <v>EFEF</v>
      </c>
      <c r="AB25" t="str">
        <f>CHAR(34)&amp;VLOOKUP(Table1[[#This Row],[Name]],'Massnahmenkarten Texte'!A:C,3,FALSE)&amp;CHAR(34)</f>
        <v>"Eine Wandheizung gibt Wärme über große Flächen ab, ist komfortabel und ermöglicht niedrige Vorlauftemperaturen. Dadurch arbeiten Wärmepumpen effizienter; im Bestand sind aber Einbauaufwand, freie Wandflächen und spätere Möblierung zu beachten."</v>
      </c>
    </row>
    <row r="26" spans="1:28" ht="22.5" customHeight="1" x14ac:dyDescent="0.25">
      <c r="A26" s="60" t="s">
        <v>40</v>
      </c>
      <c r="B26" s="34" t="s">
        <v>41</v>
      </c>
      <c r="C26" s="14">
        <v>1</v>
      </c>
      <c r="D26" s="49"/>
      <c r="E26" s="15">
        <v>1</v>
      </c>
      <c r="F26" s="36">
        <v>-1</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c r="Z26" s="40" t="str">
        <f t="shared" si="0"/>
        <v>-1EN&amp;nbsp;+1ZU</v>
      </c>
      <c r="AA26" t="str">
        <f>_xlfn.TEXTJOIN(
"XX",
TRUE,
IF(OR(F26="",F26=0),"",REPT(IF(F26&gt;0,"EN","EM"),ABS(F26))),
IF(OR(H26="",H26=0),"",REPT(IF(H26&gt;0,"BM","BP"),ABS(H26))),
REPT("SP",I26),
REPT("FL",J26),
REPT("WS",K26),
REPT("EF",L26),
IF(OR(M26="",M26=0),"",REPT(IF(M26&gt;0,"ZU","ZM"),ABS(M26))),
IF(D26="FW","XXFW",IF(D26="BIO","XXBI",IF(D26="ABWWP","XXWP",IF(D26="WP","XXWP",IF(D26="GG","XXGG","")))))
)</f>
        <v>EMXXZU</v>
      </c>
      <c r="AB26" t="str">
        <f>CHAR(34)&amp;VLOOKUP(Table1[[#This Row],[Name]],'Massnahmenkarten Texte'!A:C,3,FALSE)&amp;CHAR(34)</f>
        <v>"Bepflanzte Grünflächen, die auf dem Dach eines Gebäudes angelegt wurden, um ökologische Vorteile und einen höheren Wohnkomfort zu bieten."</v>
      </c>
    </row>
    <row r="27" spans="1:28" ht="22.5" customHeight="1" x14ac:dyDescent="0.25">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c r="Z27" s="40" t="str">
        <f t="shared" si="0"/>
        <v>+8SP</v>
      </c>
      <c r="AA27" t="str">
        <f>_xlfn.TEXTJOIN(
"XX",
TRUE,
IF(OR(F27="",F27=0),"",REPT(IF(F27&gt;0,"EN","EM"),ABS(F27))),
IF(OR(H27="",H27=0),"",REPT(IF(H27&gt;0,"BM","BP"),ABS(H27))),
REPT("SP",I27),
REPT("FL",J27),
REPT("WS",K27),
REPT("EF",L27),
IF(OR(M27="",M27=0),"",REPT(IF(M27&gt;0,"ZU","ZM"),ABS(M27))),
IF(D27="FW","XXFW",IF(D27="BIO","XXBI",IF(D27="ABWWP","XXWP",IF(D27="WP","XXWP",IF(D27="GG","XXGG","")))))
)</f>
        <v>SPSPSPSPSPSPSPSP</v>
      </c>
      <c r="AB27" t="str">
        <f>CHAR(34)&amp;VLOOKUP(Table1[[#This Row],[Name]],'Massnahmenkarten Texte'!A:C,3,FALSE)&amp;CHAR(34)</f>
        <v>"Eine große PV-Anlage nutzt die verfügbare Dachfläche konsequent und kann viel Emissionen einsparen. Damit der zusätzliche Strom gut genutzt wird, braucht sie meist Speicher oder flexible Verbraucher."</v>
      </c>
    </row>
    <row r="28" spans="1:28" ht="22.5" customHeight="1" x14ac:dyDescent="0.25">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c r="Z28" s="40" t="str">
        <f t="shared" si="0"/>
        <v>+2SP</v>
      </c>
      <c r="AA28" t="str">
        <f>_xlfn.TEXTJOIN(
"XX",
TRUE,
IF(OR(F28="",F28=0),"",REPT(IF(F28&gt;0,"EN","EM"),ABS(F28))),
IF(OR(H28="",H28=0),"",REPT(IF(H28&gt;0,"BM","BP"),ABS(H28))),
REPT("SP",I28),
REPT("FL",J28),
REPT("WS",K28),
REPT("EF",L28),
IF(OR(M28="",M28=0),"",REPT(IF(M28&gt;0,"ZU","ZM"),ABS(M28))),
IF(D28="FW","XXFW",IF(D28="BIO","XXBI",IF(D28="ABWWP","XXWP",IF(D28="WP","XXWP",IF(D28="GG","XXGG","")))))
)</f>
        <v>SPSP</v>
      </c>
      <c r="AB28" t="str">
        <f>CHAR(34)&amp;VLOOKUP(Table1[[#This Row],[Name]],'Massnahmenkarten Texte'!A:C,3,FALSE)&amp;CHAR(34)</f>
        <v>"Eine kleine PV-Anlage ist die einfache Standardlösung und deckt vor allem den direkten Eigenverbrauch. Sie spart Emissionen ohne zusätzlichen Speicher, bleibt aber in ihrem Potenzial begrenzt."</v>
      </c>
    </row>
    <row r="29" spans="1:28" ht="22.5" customHeight="1" x14ac:dyDescent="0.25">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c r="Z29" s="43" t="str">
        <f t="shared" si="0"/>
        <v>+4SP</v>
      </c>
      <c r="AA29" t="str">
        <f>_xlfn.TEXTJOIN(
"XX",
TRUE,
IF(OR(F29="",F29=0),"",REPT(IF(F29&gt;0,"EN","EM"),ABS(F29))),
IF(OR(H29="",H29=0),"",REPT(IF(H29&gt;0,"BM","BP"),ABS(H29))),
REPT("SP",I29),
REPT("FL",J29),
REPT("WS",K29),
REPT("EF",L29),
IF(OR(M29="",M29=0),"",REPT(IF(M29&gt;0,"ZU","ZM"),ABS(M29))),
IF(D29="FW","XXFW",IF(D29="BIO","XXBI",IF(D29="ABWWP","XXWP",IF(D29="WP","XXWP",IF(D29="GG","XXGG","")))))
)</f>
        <v>SPSPSPSP</v>
      </c>
      <c r="AB29" t="str">
        <f>CHAR(34)&amp;VLOOKUP(Table1[[#This Row],[Name]],'Massnahmenkarten Texte'!A:C,3,FALSE)&amp;CHAR(34)</f>
        <v>"Eine mittlere PV-Anlage ist ein guter Kompromiss zwischen Aufwand, Kosten und Klimawirkung. Sie erzeugt mehr Strom als die kleine Variante und wird mit Speicher oder flexiblen Verbrauchern deutlich wirksamer."</v>
      </c>
    </row>
    <row r="30" spans="1:28" ht="22.5" customHeight="1" x14ac:dyDescent="0.25">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c r="Z30" s="40" t="str">
        <f t="shared" si="0"/>
        <v>+3SP</v>
      </c>
      <c r="AA30" t="str">
        <f>_xlfn.TEXTJOIN(
"XX",
TRUE,
IF(OR(F30="",F30=0),"",REPT(IF(F30&gt;0,"EN","EM"),ABS(F30))),
IF(OR(H30="",H30=0),"",REPT(IF(H30&gt;0,"BM","BP"),ABS(H30))),
REPT("SP",I30),
REPT("FL",J30),
REPT("WS",K30),
REPT("EF",L30),
IF(OR(M30="",M30=0),"",REPT(IF(M30&gt;0,"ZU","ZM"),ABS(M30))),
IF(D30="FW","XXFW",IF(D30="BIO","XXBI",IF(D30="ABWWP","XXWP",IF(D30="WP","XXWP",IF(D30="GG","XXGG","")))))
)</f>
        <v>SPSPSP</v>
      </c>
      <c r="AB30" t="str">
        <f>CHAR(34)&amp;VLOOKUP(Table1[[#This Row],[Name]],'Massnahmenkarten Texte'!A:C,3,FALSE)&amp;CHAR(34)</f>
        <v>"Lösung für denkmalgeschützte Dächer mit reduzierter Effizienz im Vergleich zu herkömmlichen Paneelen."</v>
      </c>
    </row>
    <row r="31" spans="1:28" ht="22.5" customHeight="1" x14ac:dyDescent="0.25">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c r="Z31" s="43" t="str">
        <f t="shared" si="0"/>
        <v>+2SP&amp;nbsp;+1ZU</v>
      </c>
      <c r="AA31" t="str">
        <f>_xlfn.TEXTJOIN(
"XX",
TRUE,
IF(OR(F31="",F31=0),"",REPT(IF(F31&gt;0,"EN","EM"),ABS(F31))),
IF(OR(H31="",H31=0),"",REPT(IF(H31&gt;0,"BM","BP"),ABS(H31))),
REPT("SP",I31),
REPT("FL",J31),
REPT("WS",K31),
REPT("EF",L31),
IF(OR(M31="",M31=0),"",REPT(IF(M31&gt;0,"ZU","ZM"),ABS(M31))),
IF(D31="FW","XXFW",IF(D31="BIO","XXBI",IF(D31="ABWWP","XXWP",IF(D31="WP","XXWP",IF(D31="GG","XXGG","")))))
)</f>
        <v>SPSPXXZU</v>
      </c>
      <c r="AB31" t="str">
        <f>CHAR(34)&amp;VLOOKUP(Table1[[#This Row],[Name]],'Massnahmenkarten Texte'!A:C,3,FALSE)&amp;CHAR(34)</f>
        <v>"Eine PV-Pergola ist eine überdachte Terrasse oder Freifläche, bei der die PV-Module zugleich Schatten spenden und Strom erzeugen. Sie ist aufwendig, erhöht aber die Aufenthaltsqualität und Nutzerzufriedenheit deutlich."</v>
      </c>
    </row>
    <row r="32" spans="1:28" ht="22.5" customHeight="1" x14ac:dyDescent="0.25">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c r="Z32" s="43" t="str">
        <f t="shared" si="0"/>
        <v>+1WS</v>
      </c>
      <c r="AA32" t="str">
        <f>_xlfn.TEXTJOIN(
"XX",
TRUE,
IF(OR(F32="",F32=0),"",REPT(IF(F32&gt;0,"EN","EM"),ABS(F32))),
IF(OR(H32="",H32=0),"",REPT(IF(H32&gt;0,"BM","BP"),ABS(H32))),
REPT("SP",I32),
REPT("FL",J32),
REPT("WS",K32),
REPT("EF",L32),
IF(OR(M32="",M32=0),"",REPT(IF(M32&gt;0,"ZU","ZM"),ABS(M32))),
IF(D32="FW","XXFW",IF(D32="BIO","XXBI",IF(D32="ABWWP","XXWP",IF(D32="WP","XXWP",IF(D32="GG","XXGG","")))))
)</f>
        <v>WS</v>
      </c>
      <c r="AB32" t="str">
        <f>CHAR(34)&amp;VLOOKUP(Table1[[#This Row],[Name]],'Massnahmenkarten Texte'!A:C,3,FALSE)&amp;CHAR(34)</f>
        <v>"Eine thermische Solaranlage nutzt Sonnenwärme für Warmwasser oder Heizungsunterstützung und reduziert so den Heizenergiebedarf. Früher war sie häufiger die Standardlösung am Dach, heute wird oft PV bevorzugt."</v>
      </c>
    </row>
    <row r="33" spans="1:28" ht="22.5" customHeight="1" x14ac:dyDescent="0.25">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c r="Z33" s="40" t="str">
        <f t="shared" si="0"/>
        <v>+4WS</v>
      </c>
      <c r="AA33" t="str">
        <f>_xlfn.TEXTJOIN(
"XX",
TRUE,
IF(OR(F33="",F33=0),"",REPT(IF(F33&gt;0,"EN","EM"),ABS(F33))),
IF(OR(H33="",H33=0),"",REPT(IF(H33&gt;0,"BM","BP"),ABS(H33))),
REPT("SP",I33),
REPT("FL",J33),
REPT("WS",K33),
REPT("EF",L33),
IF(OR(M33="",M33=0),"",REPT(IF(M33&gt;0,"ZU","ZM"),ABS(M33))),
IF(D33="FW","XXFW",IF(D33="BIO","XXBI",IF(D33="ABWWP","XXWP",IF(D33="WP","XXWP",IF(D33="GG","XXGG","")))))
)</f>
        <v>WSWSWSWS</v>
      </c>
      <c r="AB33" t="str">
        <f>CHAR(34)&amp;VLOOKUP(Table1[[#This Row],[Name]],'Massnahmenkarten Texte'!A:C,3,FALSE)&amp;CHAR(34)</f>
        <v>"Die Gebäudehülle wird über den Mindeststandard hinaus verbessert. Dadurch sinkt der Heizwärmebedarf stärker, jedoch mit etwas höherem Material- und Investitionsaufwand."</v>
      </c>
    </row>
    <row r="34" spans="1:28" ht="22.5" customHeight="1" x14ac:dyDescent="0.25">
      <c r="A34" s="41" t="s">
        <v>29</v>
      </c>
      <c r="B34" s="63" t="s">
        <v>28</v>
      </c>
      <c r="C34" s="14">
        <v>1</v>
      </c>
      <c r="D34" s="42"/>
      <c r="E34" s="15">
        <v>3</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c r="Z34" s="43" t="str">
        <f t="shared" ref="Z34:Z65" si="1">_xlfn.TEXTJOIN("&amp;nbsp;",TRUE,IF(F34&lt;&gt;0,IF(F34&gt;0,"+"&amp;F34,F34)&amp;"EN",""),IF(H34&lt;&gt;0,IF(H34&gt;0,"+"&amp;H34,H34)&amp;"BM",""),IF(I34&lt;&gt;0,IF(I34&gt;0,"+"&amp;I34,I34)&amp;"SP",""),IF(J34&lt;&gt;0,IF(J34&gt;0,"+"&amp;J34,J34)&amp;"FL",""),IF(K34&lt;&gt;0,IF(K34&gt;0,"+"&amp;K34,K34)&amp;"WS",""),IF(L34&lt;&gt;0,IF(L34&gt;0,"+"&amp;L34,L34)&amp;"EF",""),IF(M34&lt;&gt;0,IF(M34&gt;0,"+"&amp;M34,M34)&amp;"ZU",""),IF(D34&lt;&gt;0,D34,""))</f>
        <v>+4WS</v>
      </c>
      <c r="AA34" t="str">
        <f t="shared" ref="AA34:AA65" si="2">_xlfn.TEXTJOIN(
"XX",
TRUE,
IF(OR(F34="",F34=0),"",REPT(IF(F34&gt;0,"EN","EM"),ABS(F34))),
IF(OR(H34="",H34=0),"",REPT(IF(H34&gt;0,"BM","BP"),ABS(H34))),
REPT("SP",I34),
REPT("FL",J34),
REPT("WS",K34),
REPT("EF",L34),
IF(OR(M34="",M34=0),"",REPT(IF(M34&gt;0,"ZU","ZM"),ABS(M34))),
IF(D34="FW","XXFW",IF(D34="BIO","XXBI",IF(D34="ABWWP","XXWP",IF(D34="WP","XXWP",IF(D34="GG","XXGG","")))))
)</f>
        <v>WSWSWSWS</v>
      </c>
      <c r="AB34" t="str">
        <f>CHAR(34)&amp;VLOOKUP(Table1[[#This Row],[Name]],'Massnahmenkarten Texte'!A:C,3,FALSE)&amp;CHAR(34)</f>
        <v>"Die Gebäudehülle wird über den Mindeststandard hinaus mit ökologischen Dämmstoffen verbessert. Dadurch sinkt der Heizwärmebedarf stärker."</v>
      </c>
    </row>
    <row r="35" spans="1:28" ht="22.5" customHeight="1" x14ac:dyDescent="0.25">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c r="Z35" s="40" t="str">
        <f t="shared" si="1"/>
        <v>+1WS</v>
      </c>
      <c r="AA35" t="str">
        <f t="shared" si="2"/>
        <v>WS</v>
      </c>
      <c r="AB35" t="str">
        <f>CHAR(34)&amp;VLOOKUP(Table1[[#This Row],[Name]],'Massnahmenkarten Texte'!A:C,3,FALSE)&amp;CHAR(34)</f>
        <v>"zu speziell"</v>
      </c>
    </row>
    <row r="36" spans="1:28" ht="22.5" customHeight="1" x14ac:dyDescent="0.25">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c r="Z36" s="40" t="str">
        <f t="shared" si="1"/>
        <v>+2WS</v>
      </c>
      <c r="AA36" t="str">
        <f t="shared" si="2"/>
        <v>WSWS</v>
      </c>
      <c r="AB36" t="str">
        <f>CHAR(34)&amp;VLOOKUP(Table1[[#This Row],[Name]],'Massnahmenkarten Texte'!A:C,3,FALSE)&amp;CHAR(34)</f>
        <v>"Mineralische oder synthetische Dämmstoffe. Hohe Umweltauswirkungen."</v>
      </c>
    </row>
    <row r="37" spans="1:28" ht="22.5" customHeight="1" x14ac:dyDescent="0.25">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c r="Z37" s="43" t="str">
        <f t="shared" si="1"/>
        <v>+2WS</v>
      </c>
      <c r="AA37" t="str">
        <f t="shared" si="2"/>
        <v>WSWS</v>
      </c>
      <c r="AB37" t="str">
        <f>CHAR(34)&amp;VLOOKUP(Table1[[#This Row],[Name]],'Massnahmenkarten Texte'!A:C,3,FALSE)&amp;CHAR(34)</f>
        <v>"Mineralische oder synthetische Dämmstoffe. Hohe Umweltauswirkungen."</v>
      </c>
    </row>
    <row r="38" spans="1:28" ht="22.5" customHeight="1" x14ac:dyDescent="0.25">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c r="Z38" s="43" t="str">
        <f t="shared" si="1"/>
        <v>+2WS</v>
      </c>
      <c r="AA38" t="str">
        <f t="shared" si="2"/>
        <v>WSWS</v>
      </c>
      <c r="AB38" t="str">
        <f>CHAR(34)&amp;VLOOKUP(Table1[[#This Row],[Name]],'Massnahmenkarten Texte'!A:C,3,FALSE)&amp;CHAR(34)</f>
        <v>"Natürlicher Dämmstoff. Geringe Umweltbelastung und recyclebar."</v>
      </c>
    </row>
    <row r="39" spans="1:28" ht="22.5" customHeight="1" x14ac:dyDescent="0.25">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c r="Z39" s="40" t="str">
        <f t="shared" si="1"/>
        <v>+2WS</v>
      </c>
      <c r="AA39" t="str">
        <f t="shared" si="2"/>
        <v>WSWS</v>
      </c>
      <c r="AB39" t="str">
        <f>CHAR(34)&amp;VLOOKUP(Table1[[#This Row],[Name]],'Massnahmenkarten Texte'!A:C,3,FALSE)&amp;CHAR(34)</f>
        <v>"Natürlicher Dämmstoff. Geringe Umweltbelastung und recyclebar."</v>
      </c>
    </row>
    <row r="40" spans="1:28" ht="22.5" customHeight="1" x14ac:dyDescent="0.25">
      <c r="A40" s="113" t="s">
        <v>81</v>
      </c>
      <c r="B40" s="34" t="s">
        <v>28</v>
      </c>
      <c r="C40" s="14">
        <v>1</v>
      </c>
      <c r="D40" s="42"/>
      <c r="E40" s="15">
        <v>3</v>
      </c>
      <c r="F40" s="36"/>
      <c r="G40" s="37">
        <f>Table1[[#This Row],[REAL Sofort CO2]]/kgemission_per_sp</f>
        <v>40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40</v>
      </c>
      <c r="R40" s="18">
        <v>0</v>
      </c>
      <c r="S40" s="19"/>
      <c r="T40" s="20"/>
      <c r="U40" s="38">
        <v>5</v>
      </c>
      <c r="V40" s="39"/>
      <c r="W40" s="43"/>
      <c r="X40" s="43"/>
      <c r="Y40" s="43"/>
      <c r="Z40" s="43" t="str">
        <f t="shared" si="1"/>
        <v>+5WS</v>
      </c>
      <c r="AA40" t="str">
        <f t="shared" si="2"/>
        <v>WSWSWSWSWS</v>
      </c>
      <c r="AB40" t="str">
        <f>CHAR(34)&amp;VLOOKUP(Table1[[#This Row],[Name]],'Massnahmenkarten Texte'!A:C,3,FALSE)&amp;CHAR(34)</f>
        <v>"Hochwertigster Wärmeschutz, luftdichte Gebäudehülle. Die verwendeten Baustoffe sind fossil und verursachen entsprechend höhere graue Energie."</v>
      </c>
    </row>
    <row r="41" spans="1:28" ht="22.5" customHeight="1" x14ac:dyDescent="0.25">
      <c r="A41" s="62" t="s">
        <v>82</v>
      </c>
      <c r="B41" s="34" t="s">
        <v>28</v>
      </c>
      <c r="C41" s="14">
        <v>1</v>
      </c>
      <c r="D41" s="35"/>
      <c r="E41" s="15">
        <v>4</v>
      </c>
      <c r="F41" s="36"/>
      <c r="G41" s="37">
        <v>-20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c r="Z41" s="40" t="str">
        <f t="shared" si="1"/>
        <v>+5WS</v>
      </c>
      <c r="AA41" t="str">
        <f t="shared" si="2"/>
        <v>WSWSWSWSWS</v>
      </c>
      <c r="AB41" t="str">
        <f>CHAR(34)&amp;VLOOKUP(Table1[[#This Row],[Name]],'Massnahmenkarten Texte'!A:C,3,FALSE)&amp;CHAR(34)</f>
        <v>"Natürlicher Dämmstoff. Geringe Umweltbelastung und recyclebar."</v>
      </c>
    </row>
    <row r="42" spans="1:28" ht="22.5" customHeight="1" x14ac:dyDescent="0.25">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c r="Z42" s="43" t="str">
        <f t="shared" si="1"/>
        <v/>
      </c>
      <c r="AA42" t="str">
        <f t="shared" si="2"/>
        <v/>
      </c>
      <c r="AB42" t="str">
        <f>CHAR(34)&amp;VLOOKUP(Table1[[#This Row],[Name]],'Massnahmenkarten Texte'!A:C,3,FALSE)&amp;CHAR(34)</f>
        <v>""</v>
      </c>
    </row>
    <row r="43" spans="1:28" ht="22.5" customHeight="1" x14ac:dyDescent="0.25">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c r="Z43" s="43" t="str">
        <f t="shared" si="1"/>
        <v>+2WS</v>
      </c>
      <c r="AA43" t="str">
        <f t="shared" si="2"/>
        <v>WSWS</v>
      </c>
      <c r="AB43" t="str">
        <f>CHAR(34)&amp;VLOOKUP(Table1[[#This Row],[Name]],'Massnahmenkarten Texte'!A:C,3,FALSE)&amp;CHAR(34)</f>
        <v>"zu speziell"</v>
      </c>
    </row>
    <row r="44" spans="1:28" ht="22.5" customHeight="1" x14ac:dyDescent="0.25">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c r="Z44" s="40" t="str">
        <f t="shared" si="1"/>
        <v>+2WS</v>
      </c>
      <c r="AA44" t="str">
        <f t="shared" si="2"/>
        <v>WSWS</v>
      </c>
      <c r="AB44" t="str">
        <f>CHAR(34)&amp;VLOOKUP(Table1[[#This Row],[Name]],'Massnahmenkarten Texte'!A:C,3,FALSE)&amp;CHAR(34)</f>
        <v>"Natürlicher Dämmstoff. Geringe Umweltbelastung und recyclebar."</v>
      </c>
    </row>
    <row r="45" spans="1:28" ht="22.5" customHeight="1" x14ac:dyDescent="0.25">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c r="Z45" s="43" t="str">
        <f t="shared" si="1"/>
        <v>+2WS</v>
      </c>
      <c r="AA45" t="str">
        <f t="shared" si="2"/>
        <v>WSWS</v>
      </c>
      <c r="AB45" t="str">
        <f>CHAR(34)&amp;VLOOKUP(Table1[[#This Row],[Name]],'Massnahmenkarten Texte'!A:C,3,FALSE)&amp;CHAR(34)</f>
        <v>"Natürlicher Dämmstoff. Geringe Umweltbelastung und recyclebar."</v>
      </c>
    </row>
    <row r="46" spans="1:28" ht="22.5" customHeight="1" x14ac:dyDescent="0.25">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c r="Z46" s="43" t="str">
        <f t="shared" si="1"/>
        <v>+3WS</v>
      </c>
      <c r="AA46" t="str">
        <f t="shared" si="2"/>
        <v>WSWSWS</v>
      </c>
      <c r="AB46" t="str">
        <f>CHAR(34)&amp;VLOOKUP(Table1[[#This Row],[Name]],'Massnahmenkarten Texte'!A:C,3,FALSE)&amp;CHAR(34)</f>
        <v>"Das Gebäude wird auf den gesetzlichen Mindestandard gebracht. Der Wärmeschutz verbessert sich, die eingesetzten Materialien sind fossil."</v>
      </c>
    </row>
    <row r="47" spans="1:28" ht="22.5" customHeight="1" x14ac:dyDescent="0.25">
      <c r="A47" s="33" t="s">
        <v>91</v>
      </c>
      <c r="B47" s="63" t="s">
        <v>28</v>
      </c>
      <c r="C47" s="14">
        <v>1</v>
      </c>
      <c r="D47" s="35"/>
      <c r="E47" s="15">
        <v>2</v>
      </c>
      <c r="F47" s="36"/>
      <c r="G47" s="37">
        <v>5</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c r="Z47" s="40" t="str">
        <f t="shared" si="1"/>
        <v>+3WS</v>
      </c>
      <c r="AA47" t="str">
        <f t="shared" si="2"/>
        <v>WSWSWS</v>
      </c>
      <c r="AB47" t="str">
        <f>CHAR(34)&amp;VLOOKUP(Table1[[#This Row],[Name]],'Massnahmenkarten Texte'!A:C,3,FALSE)&amp;CHAR(34)</f>
        <v>"Hochwertigster Wärmeschutz, luftdichte Gebäudehülle. Die verwendeten ökologischen Baustoffe reduzieren Emissionen."</v>
      </c>
    </row>
    <row r="48" spans="1:28" ht="22.5" customHeight="1" x14ac:dyDescent="0.25">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c r="Z48" s="43" t="str">
        <f t="shared" si="1"/>
        <v>+1WS</v>
      </c>
      <c r="AA48" t="str">
        <f t="shared" si="2"/>
        <v>WS</v>
      </c>
      <c r="AB48" t="str">
        <f>CHAR(34)&amp;VLOOKUP(Table1[[#This Row],[Name]],'Massnahmenkarten Texte'!A:C,3,FALSE)&amp;CHAR(34)</f>
        <v>"Schließen Sie die Spalten zwischen Tür und Türrahmen, um Energieverluste durch Luftströme zu vermeiden."</v>
      </c>
    </row>
    <row r="49" spans="1:28" ht="22.5" customHeight="1" x14ac:dyDescent="0.25">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c r="Z49" s="40" t="str">
        <f t="shared" si="1"/>
        <v>+1WS</v>
      </c>
      <c r="AA49" t="str">
        <f t="shared" si="2"/>
        <v>WS</v>
      </c>
      <c r="AB49" t="str">
        <f>CHAR(34)&amp;VLOOKUP(Table1[[#This Row],[Name]],'Massnahmenkarten Texte'!A:C,3,FALSE)&amp;CHAR(34)</f>
        <v>"Eine besser isolierte Tür reduziert die Transmissionsverluste."</v>
      </c>
    </row>
    <row r="50" spans="1:28" ht="22.5" customHeight="1" x14ac:dyDescent="0.25">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c r="Z50" s="40" t="str">
        <f t="shared" si="1"/>
        <v>+2WS</v>
      </c>
      <c r="AA50" t="str">
        <f t="shared" si="2"/>
        <v>WSWS</v>
      </c>
      <c r="AB50" t="str">
        <f>CHAR(34)&amp;VLOOKUP(Table1[[#This Row],[Name]],'Massnahmenkarten Texte'!A:C,3,FALSE)&amp;CHAR(34)</f>
        <v>"zu speziell"</v>
      </c>
    </row>
    <row r="51" spans="1:28" ht="22.5" customHeight="1" x14ac:dyDescent="0.25">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c r="Z51" s="43" t="str">
        <f t="shared" si="1"/>
        <v>+2WS</v>
      </c>
      <c r="AA51" t="str">
        <f t="shared" si="2"/>
        <v>WSWS</v>
      </c>
      <c r="AB51" t="str">
        <f>CHAR(34)&amp;VLOOKUP(Table1[[#This Row],[Name]],'Massnahmenkarten Texte'!A:C,3,FALSE)&amp;CHAR(34)</f>
        <v>"Natürlicher Dämmstoff. Geringe Umweltbelastung und recyclebar."</v>
      </c>
    </row>
    <row r="52" spans="1:28" ht="22.5" customHeight="1" x14ac:dyDescent="0.25">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c r="Z52" s="40" t="str">
        <f t="shared" si="1"/>
        <v>+2WS</v>
      </c>
      <c r="AA52" t="str">
        <f t="shared" si="2"/>
        <v>WSWS</v>
      </c>
      <c r="AB52" t="str">
        <f>CHAR(34)&amp;VLOOKUP(Table1[[#This Row],[Name]],'Massnahmenkarten Texte'!A:C,3,FALSE)&amp;CHAR(34)</f>
        <v>"Natürlicher Dämmstoff. Geringe Umweltbelastung und recyclebar."</v>
      </c>
    </row>
    <row r="53" spans="1:28" ht="22.5" customHeight="1" x14ac:dyDescent="0.25">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c r="Z53" s="43" t="str">
        <f t="shared" si="1"/>
        <v>+1WS</v>
      </c>
      <c r="AA53" t="str">
        <f t="shared" si="2"/>
        <v>WS</v>
      </c>
      <c r="AB53" t="str">
        <f>CHAR(34)&amp;VLOOKUP(Table1[[#This Row],[Name]],'Massnahmenkarten Texte'!A:C,3,FALSE)&amp;CHAR(34)</f>
        <v>"Holz-Alu-Fenster verbessern den Wärmeschutz, sind aber hochwertiger und langlebiger als Plastikfenster. Sie kosten auch mehr."</v>
      </c>
    </row>
    <row r="54" spans="1:28" ht="22.5" customHeight="1" x14ac:dyDescent="0.25">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c r="Z54" s="40" t="str">
        <f t="shared" si="1"/>
        <v>+2WS</v>
      </c>
      <c r="AA54" t="str">
        <f t="shared" si="2"/>
        <v>WSWS</v>
      </c>
      <c r="AB54" t="str">
        <f>CHAR(34)&amp;VLOOKUP(Table1[[#This Row],[Name]],'Massnahmenkarten Texte'!A:C,3,FALSE)&amp;CHAR(34)</f>
        <v>"Passivhausfenster bieten deutlich besseren Wärmeschutz und erhöhen den Wohnkomfort, besonders durch weniger Zugluft und wärmere Glasoberflächen. Sie sind teurer und verursachen durch die aufwendigere Konstruktion zusätzliche graue Emissionen."</v>
      </c>
    </row>
    <row r="55" spans="1:28" ht="22.5" customHeight="1" x14ac:dyDescent="0.25">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c r="Z55" s="43" t="str">
        <f t="shared" si="1"/>
        <v>+2WS</v>
      </c>
      <c r="AA55" t="str">
        <f t="shared" si="2"/>
        <v>WSWS</v>
      </c>
      <c r="AB55" t="str">
        <f>CHAR(34)&amp;VLOOKUP(Table1[[#This Row],[Name]],'Massnahmenkarten Texte'!A:C,3,FALSE)&amp;CHAR(34)</f>
        <v>"Ökologische Passivhausfenster verbinden sehr guten Wärmeschutz mit möglichst klimafreundlichen Materialien. Sie sind die teuerste Variante, reduzieren aber die grauen Emissionen gegenüber konventionellen Passivhausfenstern deutlich."</v>
      </c>
    </row>
    <row r="56" spans="1:28" ht="22.5" customHeight="1" x14ac:dyDescent="0.25">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c r="Z56" s="40" t="str">
        <f t="shared" si="1"/>
        <v>+1WS</v>
      </c>
      <c r="AA56" t="str">
        <f t="shared" si="2"/>
        <v>WS</v>
      </c>
      <c r="AB56" t="str">
        <f>CHAR(34)&amp;VLOOKUP(Table1[[#This Row],[Name]],'Massnahmenkarten Texte'!A:C,3,FALSE)&amp;CHAR(34)</f>
        <v>"Kunststofffenster sind die günstige Standardlösung und verbessern den Wärmeschutz etwas. Sie verursachen geringe bis mittlere graue Emissionen, bleiben aber in Komfort und Klimawirkung begrenzt."</v>
      </c>
    </row>
    <row r="57" spans="1:28" ht="22.5" customHeight="1" x14ac:dyDescent="0.25">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c r="Z57" s="43" t="str">
        <f t="shared" si="1"/>
        <v>+1WS</v>
      </c>
      <c r="AA57" t="str">
        <f t="shared" si="2"/>
        <v>WS</v>
      </c>
      <c r="AB57" t="str">
        <f>CHAR(34)&amp;VLOOKUP(Table1[[#This Row],[Name]],'Massnahmenkarten Texte'!A:C,3,FALSE)&amp;CHAR(34)</f>
        <v>"Beim Tausch der Verglasung bleiben die bestehenden Fensterrahmen erhalten, nur die Scheiben werden verbessert. Das ist günstiger und verursacht weniger Eingriff als ein kompletter Fenstertausch, bringt aber nur eine begrenzte Verbesserung des Wärmeschutzes."</v>
      </c>
    </row>
    <row r="58" spans="1:28" ht="22.5" customHeight="1" x14ac:dyDescent="0.25">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c r="Z58" s="40" t="str">
        <f t="shared" si="1"/>
        <v>+1WS</v>
      </c>
      <c r="AA58" t="str">
        <f t="shared" si="2"/>
        <v>WS</v>
      </c>
      <c r="AB58" t="str">
        <f>CHAR(34)&amp;VLOOKUP(Table1[[#This Row],[Name]],'Massnahmenkarten Texte'!A:C,3,FALSE)&amp;CHAR(34)</f>
        <v>"Dezentrale Lüftungsgeräte werden raumweise eingebaut und brauchen weniger Eingriffe in die bestehende Bausubstanz. Sie sind meist günstiger und einfacher nachzurüsten, bringen aber weniger Komfort und Energieeinsparung als eine gute zentrale Lösung."</v>
      </c>
    </row>
    <row r="59" spans="1:28" ht="22.5" customHeight="1" x14ac:dyDescent="0.25">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c r="Z59" s="40" t="str">
        <f t="shared" si="1"/>
        <v>+1WS</v>
      </c>
      <c r="AA59" t="str">
        <f t="shared" si="2"/>
        <v>WS</v>
      </c>
      <c r="AB59" t="str">
        <f>CHAR(34)&amp;VLOOKUP(Table1[[#This Row],[Name]],'Massnahmenkarten Texte'!A:C,3,FALSE)&amp;CHAR(34)</f>
        <v>"Durch das Anbringen von Lüftungsöffnungen an den Fenstern wird eine ausreichende Luftzirkulation gewährleistet, damit sich kein Schimmel bilden kann."</v>
      </c>
    </row>
    <row r="60" spans="1:28" ht="22.5" customHeight="1" x14ac:dyDescent="0.25">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c r="Z60" s="43" t="str">
        <f t="shared" si="1"/>
        <v>+1WS</v>
      </c>
      <c r="AA60" t="str">
        <f t="shared" si="2"/>
        <v>WS</v>
      </c>
      <c r="AB60" t="str">
        <f>CHAR(34)&amp;VLOOKUP(Table1[[#This Row],[Name]],'Massnahmenkarten Texte'!A:C,3,FALSE)&amp;CHAR(34)</f>
        <v>"Lüftungslösungen, die im Boden, an der Decke oder in der Brüstung (zwischen Boden und Fenster, wie ein Heizkörper) installiert werden können."</v>
      </c>
    </row>
    <row r="61" spans="1:28" ht="22.5" customHeight="1" x14ac:dyDescent="0.25">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c r="Z61" s="40" t="str">
        <f t="shared" si="1"/>
        <v>+1BM&amp;nbsp;+2WS&amp;nbsp;+1ZU</v>
      </c>
      <c r="AA61" t="str">
        <f t="shared" si="2"/>
        <v>BMXXWSWSXXZU</v>
      </c>
      <c r="AB61" t="str">
        <f>CHAR(34)&amp;VLOOKUP(Table1[[#This Row],[Name]],'Massnahmenkarten Texte'!A:C,3,FALSE)&amp;CHAR(34)</f>
        <v>"Eine Komfortlüftung sorgt für hygienischen Luftwechsel und gewinnt einen großen Teil der Wärme aus der Abluft zurück. Sie verbessert Komfort und Wärmeschutz spürbar, ist aber teuer und erhöht den Strombedarf."</v>
      </c>
    </row>
    <row r="62" spans="1:28" ht="22.5" customHeight="1" x14ac:dyDescent="0.25">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c r="Z62" s="43" t="str">
        <f t="shared" si="1"/>
        <v>+1ZU</v>
      </c>
      <c r="AA62" t="str">
        <f t="shared" si="2"/>
        <v>ZU</v>
      </c>
      <c r="AB62" t="str">
        <f>CHAR(34)&amp;VLOOKUP(Table1[[#This Row],[Name]],'Massnahmenkarten Texte'!A:C,3,FALSE)&amp;CHAR(34)</f>
        <v>"Eine mechanische Abluftanlage führt verbrauchte und feuchte Luft aus Bad, WC oder Küche ab und verbessert damit Hygiene und Wohnkomfort. Da keine Wärmerückgewinnung erfolgt, reduziert sie die Lüftungswärmeverluste nicht und bringt kaum energetischen Vorteil."</v>
      </c>
    </row>
    <row r="63" spans="1:28" ht="22.5" customHeight="1" x14ac:dyDescent="0.25">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c r="Z63" s="43" t="str">
        <f t="shared" si="1"/>
        <v>+1BM&amp;nbsp;+1WS&amp;nbsp;+1ZU</v>
      </c>
      <c r="AA63" t="str">
        <f t="shared" si="2"/>
        <v>BMXXWSXXZU</v>
      </c>
      <c r="AB63" t="str">
        <f>CHAR(34)&amp;VLOOKUP(Table1[[#This Row],[Name]],'Massnahmenkarten Texte'!A:C,3,FALSE)&amp;CHAR(34)</f>
        <v>"Eine zentrale Lüftungsanlage sorgt für geregelten, hygienischen Luftwechsel im Gebäude. In der einfachen Ausführung ist sie günstiger, reduziert aber die Lüftungswärmeverluste weniger stark als eine Komfortlüftung mit effizienter Wärmerückgewinnung."</v>
      </c>
    </row>
    <row r="64" spans="1:28" ht="22.5" customHeight="1" x14ac:dyDescent="0.25">
      <c r="A64" s="12" t="s">
        <v>24</v>
      </c>
      <c r="B64" s="64" t="s">
        <v>25</v>
      </c>
      <c r="C64" s="14">
        <v>1</v>
      </c>
      <c r="D64" s="14" t="s">
        <v>26</v>
      </c>
      <c r="E64" s="15">
        <v>3</v>
      </c>
      <c r="F64" s="16"/>
      <c r="G64" s="17">
        <f>Table1[[#This Row],[REAL Sofort CO2]]/kgemission_per_sp</f>
        <v>0</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c r="R64" s="18">
        <v>0</v>
      </c>
      <c r="S64" s="19"/>
      <c r="T64" s="20"/>
      <c r="U64" s="21"/>
      <c r="V64" s="22">
        <v>2</v>
      </c>
      <c r="W64" s="32"/>
      <c r="X64" s="32"/>
      <c r="Y64" s="32"/>
      <c r="Z64" s="32" t="str">
        <f t="shared" si="1"/>
        <v>+2EF&amp;nbsp;WP</v>
      </c>
      <c r="AA64" t="str">
        <f t="shared" si="2"/>
        <v>EFEFXXXXWP</v>
      </c>
      <c r="AB64" t="str">
        <f>CHAR(34)&amp;VLOOKUP(Table1[[#This Row],[Name]],'Massnahmenkarten Texte'!A:C,3,FALSE)&amp;CHAR(34)</f>
        <v>"Eine Abwasser-Wärmepumpe nutzt Wärme aus dem Abwasser, die sonst ungenutzt verloren gehen würde. Sie kann sehr effizient sein und viele Emissionen sparen, ist aber eine technisch anspruchsvolle und meist teurere Lösung."</v>
      </c>
    </row>
    <row r="65" spans="1:28" ht="22.5" customHeight="1" x14ac:dyDescent="0.25">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c r="Z65" s="54" t="str">
        <f t="shared" si="1"/>
        <v>-1ZU&amp;nbsp;BIO</v>
      </c>
      <c r="AA65" t="str">
        <f t="shared" si="2"/>
        <v>ZMXXXXBI</v>
      </c>
      <c r="AB65" t="str">
        <f>CHAR(34)&amp;VLOOKUP(Table1[[#This Row],[Name]],'Massnahmenkarten Texte'!A:C,3,FALSE)&amp;CHAR(34)</f>
        <v>"Biomasse kann günstig erneuerbare Wärme bereitstellen und bestehende Heizsysteme teilweise gut ersetzen. In der Stadt ist sie aber wegen Lagerung, Anlieferung, Feinstaub und anderen Immissionen oft schwer umsetzbar."</v>
      </c>
    </row>
    <row r="66" spans="1:28" ht="22.5" customHeight="1" x14ac:dyDescent="0.25">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c r="Z66" s="54" t="str">
        <f t="shared" ref="Z66:Z100" si="3">_xlfn.TEXTJOIN("&amp;nbsp;",TRUE,IF(F66&lt;&gt;0,IF(F66&gt;0,"+"&amp;F66,F66)&amp;"EN",""),IF(H66&lt;&gt;0,IF(H66&gt;0,"+"&amp;H66,H66)&amp;"BM",""),IF(I66&lt;&gt;0,IF(I66&gt;0,"+"&amp;I66,I66)&amp;"SP",""),IF(J66&lt;&gt;0,IF(J66&gt;0,"+"&amp;J66,J66)&amp;"FL",""),IF(K66&lt;&gt;0,IF(K66&gt;0,"+"&amp;K66,K66)&amp;"WS",""),IF(L66&lt;&gt;0,IF(L66&gt;0,"+"&amp;L66,L66)&amp;"EF",""),IF(M66&lt;&gt;0,IF(M66&gt;0,"+"&amp;M66,M66)&amp;"ZU",""),IF(D66&lt;&gt;0,D66,""))</f>
        <v>+1EF&amp;nbsp;-1ZU&amp;nbsp;WP</v>
      </c>
      <c r="AA66" t="str">
        <f t="shared" ref="AA66:AA72" si="4">_xlfn.TEXTJOIN(
"XX",
TRUE,
IF(OR(F66="",F66=0),"",REPT(IF(F66&gt;0,"EN","EM"),ABS(F66))),
IF(OR(H66="",H66=0),"",REPT(IF(H66&gt;0,"BM","BP"),ABS(H66))),
REPT("SP",I66),
REPT("FL",J66),
REPT("WS",K66),
REPT("EF",L66),
IF(OR(M66="",M66=0),"",REPT(IF(M66&gt;0,"ZU","ZM"),ABS(M66))),
IF(D66="FW","XXFW",IF(D66="BIO","XXBI",IF(D66="ABWWP","XXWP",IF(D66="WP","XXWP",IF(D66="GG","XXGG","")))))
)</f>
        <v>EFXXZMXXXXWP</v>
      </c>
      <c r="AB66" t="str">
        <f>CHAR(34)&amp;VLOOKUP(Table1[[#This Row],[Name]],'Massnahmenkarten Texte'!A:C,3,FALSE)&amp;CHAR(34)</f>
        <v>"Eine dezentrale Luftwärmepumpe ist vergleichsweise günstig und kann einzelne Wohnungen oder Bereiche direkt versorgen. Sie nutzt Außenluft als Wärmequelle, ist aber weniger effizient und kann durch Außengeräte, Lärm oder Platzbedarf im städtischen Umfeld problematisch sein."</v>
      </c>
    </row>
    <row r="67" spans="1:28" ht="22.5" customHeight="1" x14ac:dyDescent="0.25">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c r="Z67" s="54" t="str">
        <f t="shared" si="3"/>
        <v>+2EF&amp;nbsp;WP</v>
      </c>
      <c r="AA67" t="str">
        <f t="shared" si="4"/>
        <v>EFEFXXXXWP</v>
      </c>
      <c r="AB67" t="str">
        <f>CHAR(34)&amp;VLOOKUP(Table1[[#This Row],[Name]],'Massnahmenkarten Texte'!A:C,3,FALSE)&amp;CHAR(34)</f>
        <v>"Eine Erdwärmepumpe nutzt Wärme aus dem Erdreich und arbeitet dadurch meist sehr effizient und stabil. Sie spart viele Emissionen, ist aber wegen Bohrungen oder Erdarbeiten teuer und aufwendig umzusetzen."</v>
      </c>
    </row>
    <row r="68" spans="1:28" ht="22.5" customHeight="1" x14ac:dyDescent="0.25">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c r="Z68" s="32" t="str">
        <f t="shared" si="3"/>
        <v>FW</v>
      </c>
      <c r="AA68" t="str">
        <f t="shared" si="4"/>
        <v>XXFW</v>
      </c>
      <c r="AB68" t="str">
        <f>CHAR(34)&amp;VLOOKUP(Table1[[#This Row],[Name]],'Massnahmenkarten Texte'!A:C,3,FALSE)&amp;CHAR(34)</f>
        <v>"Fernwärme ist einfach und im Allgemeinen umweltverträglich, kann aber teurer sein als andere Lösungen."</v>
      </c>
    </row>
    <row r="69" spans="1:28" ht="22.5" customHeight="1" x14ac:dyDescent="0.25">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c r="Z69" s="32" t="str">
        <f t="shared" si="3"/>
        <v>+2EF&amp;nbsp;WP</v>
      </c>
      <c r="AA69" t="str">
        <f t="shared" si="4"/>
        <v>EFEFXXXXWP</v>
      </c>
      <c r="AB69" t="str">
        <f>CHAR(34)&amp;VLOOKUP(Table1[[#This Row],[Name]],'Massnahmenkarten Texte'!A:C,3,FALSE)&amp;CHAR(34)</f>
        <v>"Eine Grundwasser-Wärmepumpe nutzt die relativ konstante Temperatur des Grundwassers und kann sehr effizient heizen und kühlen. Sie spart viele Emissionen, ist aber teuer, genehmigungspflichtig und nur bei geeigneten Standortbedingungen möglich."</v>
      </c>
    </row>
    <row r="70" spans="1:28" ht="22.5" customHeight="1" x14ac:dyDescent="0.25">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c r="Z70" s="32" t="str">
        <f t="shared" si="3"/>
        <v>GG</v>
      </c>
      <c r="AA70" t="str">
        <f t="shared" si="4"/>
        <v>XXGG</v>
      </c>
      <c r="AB70" t="str">
        <f>CHAR(34)&amp;VLOOKUP(Table1[[#This Row],[Name]],'Massnahmenkarten Texte'!A:C,3,FALSE)&amp;CHAR(34)</f>
        <v>"Grünes Gas kann bestehende Gasheizungen weiter nutzbar machen, ohne sofort das ganze Heizsystem umzubauen. Die Klimawirkung hängt aber stark davon ab, ob ausreichend erneuerbares Gas verfügbar und leistbar ist – hier bleibt ein großes Kosten- und Verfügbarkeitsrisiko."</v>
      </c>
    </row>
    <row r="71" spans="1:28" ht="22.5" customHeight="1" x14ac:dyDescent="0.25">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c r="Z71" s="43" t="str">
        <f t="shared" si="3"/>
        <v/>
      </c>
      <c r="AA71" t="str">
        <f t="shared" si="4"/>
        <v/>
      </c>
      <c r="AB71" t="str">
        <f>CHAR(34)&amp;VLOOKUP(Table1[[#This Row],[Name]],'Massnahmenkarten Texte'!A:C,3,FALSE)&amp;CHAR(34)</f>
        <v>"Infrarotpaneele können in fast jedem Haus nachgerüstet werden, sind aber weit weniger effizient als Wärmepumpen und benötigen teuren Strom."</v>
      </c>
    </row>
    <row r="72" spans="1:28" ht="22.5" customHeight="1" x14ac:dyDescent="0.25">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c r="Z72" s="54" t="str">
        <f t="shared" si="3"/>
        <v>+1EF&amp;nbsp;WP</v>
      </c>
      <c r="AA72" t="str">
        <f t="shared" si="4"/>
        <v>EFXXXXWP</v>
      </c>
      <c r="AB72" t="str">
        <f>CHAR(34)&amp;VLOOKUP(Table1[[#This Row],[Name]],'Massnahmenkarten Texte'!A:C,3,FALSE)&amp;CHAR(34)</f>
        <v>"Eine zentrale Luftwärmepumpe versorgt das ganze Gebäude und nutzt Außenluft als Wärmequelle. Sie ist teurer als dezentrale Geräte, lässt sich aber besser planen, schalltechnisch kontrollieren und mit Speicher oder Niedertemperatur-Heizsystemen kombinieren."</v>
      </c>
    </row>
    <row r="73" spans="1:28" ht="22.5" customHeight="1" x14ac:dyDescent="0.25">
      <c r="A73" s="32"/>
      <c r="B73" s="80"/>
      <c r="C73" s="40"/>
      <c r="D73" s="40"/>
      <c r="E73" s="81"/>
      <c r="F73" s="17"/>
      <c r="G73" s="17"/>
      <c r="H73" s="133"/>
      <c r="I73" s="82"/>
      <c r="J73" s="83"/>
      <c r="K73" s="84"/>
      <c r="L73" s="85"/>
      <c r="M73" s="48"/>
      <c r="N73" s="48"/>
      <c r="O73" s="25"/>
      <c r="P73" s="16"/>
      <c r="Q73" s="26"/>
      <c r="R73" s="27"/>
      <c r="S73" s="28"/>
      <c r="T73" s="29"/>
      <c r="U73" s="30"/>
      <c r="V73" s="31"/>
      <c r="W73" s="32"/>
      <c r="X73" s="32"/>
      <c r="Y73" s="32"/>
      <c r="Z73" s="32" t="str">
        <f t="shared" si="3"/>
        <v/>
      </c>
    </row>
    <row r="74" spans="1:28" ht="22.5" customHeight="1" x14ac:dyDescent="0.25">
      <c r="A74" s="32"/>
      <c r="B74" s="80"/>
      <c r="C74" s="40"/>
      <c r="D74" s="40"/>
      <c r="E74" s="81"/>
      <c r="F74" s="17"/>
      <c r="G74" s="17"/>
      <c r="H74" s="133"/>
      <c r="I74" s="82"/>
      <c r="J74" s="83"/>
      <c r="K74" s="84"/>
      <c r="L74" s="85"/>
      <c r="M74" s="48"/>
      <c r="N74" s="48"/>
      <c r="O74" s="25"/>
      <c r="P74" s="16"/>
      <c r="Q74" s="26"/>
      <c r="R74" s="27"/>
      <c r="S74" s="28"/>
      <c r="T74" s="29"/>
      <c r="U74" s="30"/>
      <c r="V74" s="31"/>
      <c r="W74" s="32"/>
      <c r="X74" s="32"/>
      <c r="Y74" s="32"/>
      <c r="Z74" s="32" t="str">
        <f t="shared" si="3"/>
        <v/>
      </c>
    </row>
    <row r="75" spans="1:28" ht="22.5" customHeight="1" x14ac:dyDescent="0.25">
      <c r="A75" s="32"/>
      <c r="B75" s="80"/>
      <c r="C75" s="40"/>
      <c r="D75" s="40"/>
      <c r="E75" s="81"/>
      <c r="F75" s="17"/>
      <c r="G75" s="17"/>
      <c r="H75" s="133"/>
      <c r="I75" s="82"/>
      <c r="J75" s="83"/>
      <c r="K75" s="84"/>
      <c r="L75" s="85"/>
      <c r="M75" s="48"/>
      <c r="N75" s="48"/>
      <c r="O75" s="25"/>
      <c r="P75" s="16"/>
      <c r="Q75" s="26"/>
      <c r="R75" s="27"/>
      <c r="S75" s="28"/>
      <c r="T75" s="29"/>
      <c r="U75" s="30"/>
      <c r="V75" s="31"/>
      <c r="W75" s="32"/>
      <c r="X75" s="32"/>
      <c r="Y75" s="32"/>
      <c r="Z75" s="32" t="str">
        <f t="shared" si="3"/>
        <v/>
      </c>
    </row>
    <row r="76" spans="1:28" ht="22.5" customHeight="1" x14ac:dyDescent="0.25">
      <c r="A76" s="32"/>
      <c r="B76" s="80"/>
      <c r="C76" s="40"/>
      <c r="D76" s="40"/>
      <c r="E76" s="81"/>
      <c r="F76" s="17"/>
      <c r="G76" s="17"/>
      <c r="H76" s="133"/>
      <c r="I76" s="82"/>
      <c r="J76" s="83"/>
      <c r="K76" s="84"/>
      <c r="L76" s="85"/>
      <c r="M76" s="48"/>
      <c r="N76" s="48"/>
      <c r="O76" s="25"/>
      <c r="P76" s="16"/>
      <c r="Q76" s="26"/>
      <c r="R76" s="27"/>
      <c r="S76" s="28"/>
      <c r="T76" s="29"/>
      <c r="U76" s="30"/>
      <c r="V76" s="31"/>
      <c r="W76" s="32"/>
      <c r="X76" s="32"/>
      <c r="Y76" s="32"/>
      <c r="Z76" s="32" t="str">
        <f t="shared" si="3"/>
        <v/>
      </c>
    </row>
    <row r="77" spans="1:28" ht="22.5" customHeight="1" x14ac:dyDescent="0.25">
      <c r="A77" s="32"/>
      <c r="B77" s="80"/>
      <c r="C77" s="40"/>
      <c r="D77" s="40"/>
      <c r="E77" s="81"/>
      <c r="F77" s="17"/>
      <c r="G77" s="17"/>
      <c r="H77" s="133"/>
      <c r="I77" s="82"/>
      <c r="J77" s="83"/>
      <c r="K77" s="84"/>
      <c r="L77" s="85"/>
      <c r="M77" s="48"/>
      <c r="N77" s="48"/>
      <c r="O77" s="25"/>
      <c r="P77" s="16"/>
      <c r="Q77" s="26"/>
      <c r="R77" s="27"/>
      <c r="S77" s="28"/>
      <c r="T77" s="29"/>
      <c r="U77" s="30"/>
      <c r="V77" s="31"/>
      <c r="W77" s="32"/>
      <c r="X77" s="32"/>
      <c r="Y77" s="32"/>
      <c r="Z77" s="32" t="str">
        <f t="shared" si="3"/>
        <v/>
      </c>
    </row>
    <row r="78" spans="1:28" ht="22.5" customHeight="1" x14ac:dyDescent="0.25">
      <c r="A78" s="32"/>
      <c r="B78" s="80"/>
      <c r="C78" s="40"/>
      <c r="D78" s="40"/>
      <c r="E78" s="81"/>
      <c r="F78" s="17"/>
      <c r="G78" s="17"/>
      <c r="H78" s="133"/>
      <c r="I78" s="82"/>
      <c r="J78" s="83"/>
      <c r="K78" s="84"/>
      <c r="L78" s="85"/>
      <c r="M78" s="48"/>
      <c r="N78" s="48"/>
      <c r="O78" s="25"/>
      <c r="P78" s="16"/>
      <c r="Q78" s="26"/>
      <c r="R78" s="27"/>
      <c r="S78" s="28"/>
      <c r="T78" s="29"/>
      <c r="U78" s="30"/>
      <c r="V78" s="31"/>
      <c r="W78" s="32"/>
      <c r="X78" s="32"/>
      <c r="Y78" s="32"/>
      <c r="Z78" s="32" t="str">
        <f t="shared" si="3"/>
        <v/>
      </c>
    </row>
    <row r="79" spans="1:28" ht="22.5" customHeight="1" x14ac:dyDescent="0.25">
      <c r="A79" s="32"/>
      <c r="B79" s="80"/>
      <c r="C79" s="40"/>
      <c r="D79" s="40"/>
      <c r="E79" s="81"/>
      <c r="F79" s="17"/>
      <c r="G79" s="17"/>
      <c r="H79" s="133"/>
      <c r="I79" s="82"/>
      <c r="J79" s="83"/>
      <c r="K79" s="84"/>
      <c r="L79" s="85"/>
      <c r="M79" s="48"/>
      <c r="N79" s="48"/>
      <c r="O79" s="25"/>
      <c r="P79" s="16"/>
      <c r="Q79" s="26"/>
      <c r="R79" s="27"/>
      <c r="S79" s="28"/>
      <c r="T79" s="29"/>
      <c r="U79" s="30"/>
      <c r="V79" s="31"/>
      <c r="W79" s="32"/>
      <c r="X79" s="32"/>
      <c r="Y79" s="32"/>
      <c r="Z79" s="32" t="str">
        <f t="shared" si="3"/>
        <v/>
      </c>
    </row>
    <row r="80" spans="1:28" ht="22.5" customHeight="1" x14ac:dyDescent="0.25">
      <c r="A80" s="32"/>
      <c r="B80" s="80"/>
      <c r="C80" s="40"/>
      <c r="D80" s="40"/>
      <c r="E80" s="81"/>
      <c r="F80" s="17"/>
      <c r="G80" s="17"/>
      <c r="H80" s="133"/>
      <c r="I80" s="82"/>
      <c r="J80" s="83"/>
      <c r="K80" s="84"/>
      <c r="L80" s="85"/>
      <c r="M80" s="48"/>
      <c r="N80" s="48"/>
      <c r="O80" s="25"/>
      <c r="P80" s="16"/>
      <c r="Q80" s="26"/>
      <c r="R80" s="27"/>
      <c r="S80" s="28"/>
      <c r="T80" s="29"/>
      <c r="U80" s="30"/>
      <c r="V80" s="31"/>
      <c r="W80" s="32"/>
      <c r="X80" s="32"/>
      <c r="Y80" s="32"/>
      <c r="Z80" s="32" t="str">
        <f t="shared" si="3"/>
        <v/>
      </c>
    </row>
    <row r="81" spans="1:26" ht="22.5" customHeight="1" x14ac:dyDescent="0.25">
      <c r="A81" s="32"/>
      <c r="B81" s="80"/>
      <c r="C81" s="40"/>
      <c r="D81" s="40"/>
      <c r="E81" s="81"/>
      <c r="F81" s="17"/>
      <c r="G81" s="17"/>
      <c r="H81" s="133"/>
      <c r="I81" s="82"/>
      <c r="J81" s="83"/>
      <c r="K81" s="84"/>
      <c r="L81" s="85"/>
      <c r="M81" s="48"/>
      <c r="N81" s="48"/>
      <c r="O81" s="25"/>
      <c r="P81" s="16"/>
      <c r="Q81" s="26"/>
      <c r="R81" s="27"/>
      <c r="S81" s="28"/>
      <c r="T81" s="29"/>
      <c r="U81" s="30"/>
      <c r="V81" s="31"/>
      <c r="W81" s="32"/>
      <c r="X81" s="32"/>
      <c r="Y81" s="32"/>
      <c r="Z81" s="32" t="str">
        <f t="shared" si="3"/>
        <v/>
      </c>
    </row>
    <row r="82" spans="1:26" ht="22.5" customHeight="1" x14ac:dyDescent="0.25">
      <c r="A82" s="32"/>
      <c r="B82" s="80"/>
      <c r="C82" s="40"/>
      <c r="D82" s="40"/>
      <c r="E82" s="81"/>
      <c r="F82" s="17"/>
      <c r="G82" s="17"/>
      <c r="H82" s="133"/>
      <c r="I82" s="82"/>
      <c r="J82" s="83"/>
      <c r="K82" s="84"/>
      <c r="L82" s="85"/>
      <c r="M82" s="48"/>
      <c r="N82" s="48"/>
      <c r="O82" s="25"/>
      <c r="P82" s="16"/>
      <c r="Q82" s="26"/>
      <c r="R82" s="27"/>
      <c r="S82" s="28"/>
      <c r="T82" s="29"/>
      <c r="U82" s="30"/>
      <c r="V82" s="31"/>
      <c r="W82" s="32"/>
      <c r="X82" s="32"/>
      <c r="Y82" s="32"/>
      <c r="Z82" s="32" t="str">
        <f t="shared" si="3"/>
        <v/>
      </c>
    </row>
    <row r="83" spans="1:26" ht="22.5" customHeight="1" x14ac:dyDescent="0.25">
      <c r="A83" s="32"/>
      <c r="B83" s="80"/>
      <c r="C83" s="40"/>
      <c r="D83" s="40"/>
      <c r="E83" s="81"/>
      <c r="F83" s="17"/>
      <c r="G83" s="17"/>
      <c r="H83" s="133"/>
      <c r="I83" s="82"/>
      <c r="J83" s="83"/>
      <c r="K83" s="84"/>
      <c r="L83" s="85"/>
      <c r="M83" s="48"/>
      <c r="N83" s="48"/>
      <c r="O83" s="25"/>
      <c r="P83" s="16"/>
      <c r="Q83" s="26"/>
      <c r="R83" s="27"/>
      <c r="S83" s="28"/>
      <c r="T83" s="29"/>
      <c r="U83" s="30"/>
      <c r="V83" s="31"/>
      <c r="W83" s="32"/>
      <c r="X83" s="32"/>
      <c r="Y83" s="32"/>
      <c r="Z83" s="32" t="str">
        <f t="shared" si="3"/>
        <v/>
      </c>
    </row>
    <row r="84" spans="1:26" ht="22.5" customHeight="1" x14ac:dyDescent="0.25">
      <c r="A84" s="32"/>
      <c r="B84" s="80"/>
      <c r="C84" s="40"/>
      <c r="D84" s="40"/>
      <c r="E84" s="81"/>
      <c r="F84" s="17"/>
      <c r="G84" s="17"/>
      <c r="H84" s="133"/>
      <c r="I84" s="82"/>
      <c r="J84" s="83"/>
      <c r="K84" s="84"/>
      <c r="L84" s="85"/>
      <c r="M84" s="48"/>
      <c r="N84" s="48"/>
      <c r="O84" s="25"/>
      <c r="P84" s="16"/>
      <c r="Q84" s="26"/>
      <c r="R84" s="27"/>
      <c r="S84" s="28"/>
      <c r="T84" s="29"/>
      <c r="U84" s="30"/>
      <c r="V84" s="31"/>
      <c r="W84" s="32"/>
      <c r="X84" s="32"/>
      <c r="Y84" s="32"/>
      <c r="Z84" s="32" t="str">
        <f t="shared" si="3"/>
        <v/>
      </c>
    </row>
    <row r="85" spans="1:26" ht="22.5" customHeight="1" x14ac:dyDescent="0.25">
      <c r="A85" s="32"/>
      <c r="B85" s="80"/>
      <c r="C85" s="40"/>
      <c r="D85" s="40"/>
      <c r="E85" s="81"/>
      <c r="F85" s="17"/>
      <c r="G85" s="17"/>
      <c r="H85" s="133"/>
      <c r="I85" s="82"/>
      <c r="J85" s="83"/>
      <c r="K85" s="84"/>
      <c r="L85" s="85"/>
      <c r="M85" s="48"/>
      <c r="N85" s="48"/>
      <c r="O85" s="25"/>
      <c r="P85" s="16"/>
      <c r="Q85" s="26"/>
      <c r="R85" s="27"/>
      <c r="S85" s="28"/>
      <c r="T85" s="29"/>
      <c r="U85" s="30"/>
      <c r="V85" s="31"/>
      <c r="W85" s="32"/>
      <c r="X85" s="32"/>
      <c r="Y85" s="32"/>
      <c r="Z85" s="32" t="str">
        <f t="shared" si="3"/>
        <v/>
      </c>
    </row>
    <row r="86" spans="1:26" ht="22.5" customHeight="1" x14ac:dyDescent="0.25">
      <c r="A86" s="32"/>
      <c r="B86" s="80"/>
      <c r="C86" s="40"/>
      <c r="D86" s="40"/>
      <c r="E86" s="81"/>
      <c r="F86" s="17"/>
      <c r="G86" s="17"/>
      <c r="H86" s="133"/>
      <c r="I86" s="82"/>
      <c r="J86" s="83"/>
      <c r="K86" s="84"/>
      <c r="L86" s="85"/>
      <c r="M86" s="48"/>
      <c r="N86" s="48"/>
      <c r="O86" s="25"/>
      <c r="P86" s="16"/>
      <c r="Q86" s="26"/>
      <c r="R86" s="27"/>
      <c r="S86" s="28"/>
      <c r="T86" s="29"/>
      <c r="U86" s="30"/>
      <c r="V86" s="31"/>
      <c r="W86" s="32"/>
      <c r="X86" s="32"/>
      <c r="Y86" s="32"/>
      <c r="Z86" s="32" t="str">
        <f t="shared" si="3"/>
        <v/>
      </c>
    </row>
    <row r="87" spans="1:26" ht="22.5" customHeight="1" x14ac:dyDescent="0.25">
      <c r="A87" s="32"/>
      <c r="B87" s="80"/>
      <c r="C87" s="40"/>
      <c r="D87" s="40"/>
      <c r="E87" s="81"/>
      <c r="F87" s="17"/>
      <c r="G87" s="17"/>
      <c r="H87" s="133"/>
      <c r="I87" s="82"/>
      <c r="J87" s="83"/>
      <c r="K87" s="84"/>
      <c r="L87" s="85"/>
      <c r="M87" s="48"/>
      <c r="N87" s="48"/>
      <c r="O87" s="25"/>
      <c r="P87" s="16"/>
      <c r="Q87" s="26"/>
      <c r="R87" s="27"/>
      <c r="S87" s="28"/>
      <c r="T87" s="29"/>
      <c r="U87" s="30"/>
      <c r="V87" s="31"/>
      <c r="W87" s="32"/>
      <c r="X87" s="32"/>
      <c r="Y87" s="32"/>
      <c r="Z87" s="32" t="str">
        <f t="shared" si="3"/>
        <v/>
      </c>
    </row>
    <row r="88" spans="1:26" ht="22.5" customHeight="1" x14ac:dyDescent="0.25">
      <c r="A88" s="32"/>
      <c r="B88" s="80"/>
      <c r="C88" s="40"/>
      <c r="D88" s="40"/>
      <c r="E88" s="81"/>
      <c r="F88" s="17"/>
      <c r="G88" s="17"/>
      <c r="H88" s="133"/>
      <c r="I88" s="82"/>
      <c r="J88" s="83"/>
      <c r="K88" s="84"/>
      <c r="L88" s="85"/>
      <c r="M88" s="48"/>
      <c r="N88" s="48"/>
      <c r="O88" s="25"/>
      <c r="P88" s="16"/>
      <c r="Q88" s="26"/>
      <c r="R88" s="27"/>
      <c r="S88" s="28"/>
      <c r="T88" s="29"/>
      <c r="U88" s="30"/>
      <c r="V88" s="31"/>
      <c r="W88" s="32"/>
      <c r="X88" s="32"/>
      <c r="Y88" s="32"/>
      <c r="Z88" s="32" t="str">
        <f t="shared" si="3"/>
        <v/>
      </c>
    </row>
    <row r="89" spans="1:26" ht="22.5" customHeight="1" x14ac:dyDescent="0.25">
      <c r="A89" s="32"/>
      <c r="B89" s="80"/>
      <c r="C89" s="40"/>
      <c r="D89" s="40"/>
      <c r="E89" s="81"/>
      <c r="F89" s="17"/>
      <c r="G89" s="17"/>
      <c r="H89" s="133"/>
      <c r="I89" s="82"/>
      <c r="J89" s="83"/>
      <c r="K89" s="84"/>
      <c r="L89" s="85"/>
      <c r="M89" s="48"/>
      <c r="N89" s="48"/>
      <c r="O89" s="25"/>
      <c r="P89" s="16"/>
      <c r="Q89" s="26"/>
      <c r="R89" s="27"/>
      <c r="S89" s="28"/>
      <c r="T89" s="29"/>
      <c r="U89" s="30"/>
      <c r="V89" s="31"/>
      <c r="W89" s="32"/>
      <c r="X89" s="32"/>
      <c r="Y89" s="32"/>
      <c r="Z89" s="32" t="str">
        <f t="shared" si="3"/>
        <v/>
      </c>
    </row>
    <row r="90" spans="1:26" ht="22.5" customHeight="1" x14ac:dyDescent="0.25">
      <c r="A90" s="32"/>
      <c r="B90" s="80"/>
      <c r="C90" s="40"/>
      <c r="D90" s="40"/>
      <c r="E90" s="81"/>
      <c r="F90" s="17"/>
      <c r="G90" s="17"/>
      <c r="H90" s="133"/>
      <c r="I90" s="82"/>
      <c r="J90" s="83"/>
      <c r="K90" s="84"/>
      <c r="L90" s="85"/>
      <c r="M90" s="48"/>
      <c r="N90" s="48"/>
      <c r="O90" s="25"/>
      <c r="P90" s="16"/>
      <c r="Q90" s="26"/>
      <c r="R90" s="27"/>
      <c r="S90" s="28"/>
      <c r="T90" s="29"/>
      <c r="U90" s="30"/>
      <c r="V90" s="31"/>
      <c r="W90" s="32"/>
      <c r="X90" s="32"/>
      <c r="Y90" s="32"/>
      <c r="Z90" s="32" t="str">
        <f t="shared" si="3"/>
        <v/>
      </c>
    </row>
    <row r="91" spans="1:26" ht="22.5" customHeight="1" x14ac:dyDescent="0.25">
      <c r="A91" s="32"/>
      <c r="B91" s="80"/>
      <c r="C91" s="40"/>
      <c r="D91" s="40"/>
      <c r="E91" s="81"/>
      <c r="F91" s="17"/>
      <c r="G91" s="17"/>
      <c r="H91" s="133"/>
      <c r="I91" s="82"/>
      <c r="J91" s="83"/>
      <c r="K91" s="84"/>
      <c r="L91" s="85"/>
      <c r="M91" s="48"/>
      <c r="N91" s="48"/>
      <c r="O91" s="25"/>
      <c r="P91" s="16"/>
      <c r="Q91" s="26"/>
      <c r="R91" s="27"/>
      <c r="S91" s="28"/>
      <c r="T91" s="29"/>
      <c r="U91" s="30"/>
      <c r="V91" s="31"/>
      <c r="W91" s="32"/>
      <c r="X91" s="32"/>
      <c r="Y91" s="32"/>
      <c r="Z91" s="32" t="str">
        <f t="shared" si="3"/>
        <v/>
      </c>
    </row>
    <row r="92" spans="1:26" ht="22.5" customHeight="1" x14ac:dyDescent="0.25">
      <c r="A92" s="32"/>
      <c r="B92" s="80"/>
      <c r="C92" s="40"/>
      <c r="D92" s="40"/>
      <c r="E92" s="81"/>
      <c r="F92" s="17"/>
      <c r="G92" s="17"/>
      <c r="H92" s="133"/>
      <c r="I92" s="82"/>
      <c r="J92" s="83"/>
      <c r="K92" s="84"/>
      <c r="L92" s="85"/>
      <c r="M92" s="48"/>
      <c r="N92" s="48"/>
      <c r="O92" s="25"/>
      <c r="P92" s="16"/>
      <c r="Q92" s="26"/>
      <c r="R92" s="27"/>
      <c r="S92" s="28"/>
      <c r="T92" s="29"/>
      <c r="U92" s="30"/>
      <c r="V92" s="31"/>
      <c r="W92" s="32"/>
      <c r="X92" s="32"/>
      <c r="Y92" s="32"/>
      <c r="Z92" s="32" t="str">
        <f t="shared" si="3"/>
        <v/>
      </c>
    </row>
    <row r="93" spans="1:26" ht="22.5" customHeight="1" x14ac:dyDescent="0.25">
      <c r="A93" s="32"/>
      <c r="B93" s="80"/>
      <c r="C93" s="40"/>
      <c r="D93" s="40"/>
      <c r="E93" s="81"/>
      <c r="F93" s="17"/>
      <c r="G93" s="17"/>
      <c r="H93" s="133"/>
      <c r="I93" s="82"/>
      <c r="J93" s="83"/>
      <c r="K93" s="84"/>
      <c r="L93" s="85"/>
      <c r="M93" s="48"/>
      <c r="N93" s="48"/>
      <c r="O93" s="25"/>
      <c r="P93" s="16"/>
      <c r="Q93" s="26"/>
      <c r="R93" s="27"/>
      <c r="S93" s="28"/>
      <c r="T93" s="29"/>
      <c r="U93" s="30"/>
      <c r="V93" s="31"/>
      <c r="W93" s="32"/>
      <c r="X93" s="32"/>
      <c r="Y93" s="32"/>
      <c r="Z93" s="32" t="str">
        <f t="shared" si="3"/>
        <v/>
      </c>
    </row>
    <row r="94" spans="1:26" ht="22.5" customHeight="1" x14ac:dyDescent="0.25">
      <c r="A94" s="32"/>
      <c r="B94" s="80"/>
      <c r="C94" s="40"/>
      <c r="D94" s="40"/>
      <c r="E94" s="81"/>
      <c r="F94" s="17"/>
      <c r="G94" s="17"/>
      <c r="H94" s="133"/>
      <c r="I94" s="82"/>
      <c r="J94" s="83"/>
      <c r="K94" s="84"/>
      <c r="L94" s="85"/>
      <c r="M94" s="48"/>
      <c r="N94" s="48"/>
      <c r="O94" s="25"/>
      <c r="P94" s="16"/>
      <c r="Q94" s="26"/>
      <c r="R94" s="27"/>
      <c r="S94" s="28"/>
      <c r="T94" s="29"/>
      <c r="U94" s="30"/>
      <c r="V94" s="31"/>
      <c r="W94" s="32"/>
      <c r="X94" s="32"/>
      <c r="Y94" s="32"/>
      <c r="Z94" s="32" t="str">
        <f t="shared" si="3"/>
        <v/>
      </c>
    </row>
    <row r="95" spans="1:26" ht="22.5" customHeight="1" x14ac:dyDescent="0.25">
      <c r="A95" s="32"/>
      <c r="B95" s="80"/>
      <c r="C95" s="40"/>
      <c r="D95" s="40"/>
      <c r="E95" s="81"/>
      <c r="F95" s="17"/>
      <c r="G95" s="17"/>
      <c r="H95" s="133"/>
      <c r="I95" s="82"/>
      <c r="J95" s="83"/>
      <c r="K95" s="84"/>
      <c r="L95" s="85"/>
      <c r="M95" s="48"/>
      <c r="N95" s="48"/>
      <c r="O95" s="25"/>
      <c r="P95" s="16"/>
      <c r="Q95" s="26"/>
      <c r="R95" s="27"/>
      <c r="S95" s="28"/>
      <c r="T95" s="29"/>
      <c r="U95" s="30"/>
      <c r="V95" s="31"/>
      <c r="W95" s="32"/>
      <c r="X95" s="32"/>
      <c r="Y95" s="32"/>
      <c r="Z95" s="32" t="str">
        <f t="shared" si="3"/>
        <v/>
      </c>
    </row>
    <row r="96" spans="1:26" ht="22.5" customHeight="1" x14ac:dyDescent="0.25">
      <c r="A96" s="32"/>
      <c r="B96" s="80"/>
      <c r="C96" s="40"/>
      <c r="D96" s="40"/>
      <c r="E96" s="81"/>
      <c r="F96" s="17"/>
      <c r="G96" s="17"/>
      <c r="H96" s="133"/>
      <c r="I96" s="82"/>
      <c r="J96" s="83"/>
      <c r="K96" s="84"/>
      <c r="L96" s="85"/>
      <c r="M96" s="48"/>
      <c r="N96" s="48"/>
      <c r="O96" s="25"/>
      <c r="P96" s="16"/>
      <c r="Q96" s="26"/>
      <c r="R96" s="27"/>
      <c r="S96" s="28"/>
      <c r="T96" s="29"/>
      <c r="U96" s="30"/>
      <c r="V96" s="31"/>
      <c r="W96" s="32"/>
      <c r="X96" s="32"/>
      <c r="Y96" s="32"/>
      <c r="Z96" s="32" t="str">
        <f t="shared" si="3"/>
        <v/>
      </c>
    </row>
    <row r="97" spans="1:26" ht="22.5" customHeight="1" x14ac:dyDescent="0.25">
      <c r="A97" s="32"/>
      <c r="B97" s="80"/>
      <c r="C97" s="40"/>
      <c r="D97" s="40"/>
      <c r="E97" s="81"/>
      <c r="F97" s="17"/>
      <c r="G97" s="17"/>
      <c r="H97" s="133"/>
      <c r="I97" s="82"/>
      <c r="J97" s="83"/>
      <c r="K97" s="84"/>
      <c r="L97" s="85"/>
      <c r="M97" s="48"/>
      <c r="N97" s="48"/>
      <c r="O97" s="25"/>
      <c r="P97" s="16"/>
      <c r="Q97" s="26"/>
      <c r="R97" s="27"/>
      <c r="S97" s="28"/>
      <c r="T97" s="29"/>
      <c r="U97" s="30"/>
      <c r="V97" s="31"/>
      <c r="W97" s="32"/>
      <c r="X97" s="32"/>
      <c r="Y97" s="32"/>
      <c r="Z97" s="32" t="str">
        <f t="shared" si="3"/>
        <v/>
      </c>
    </row>
    <row r="98" spans="1:26" ht="22.5" customHeight="1" x14ac:dyDescent="0.25">
      <c r="A98" s="32"/>
      <c r="B98" s="80"/>
      <c r="C98" s="40"/>
      <c r="D98" s="40"/>
      <c r="E98" s="81"/>
      <c r="F98" s="17"/>
      <c r="G98" s="17"/>
      <c r="H98" s="133"/>
      <c r="I98" s="82"/>
      <c r="J98" s="83"/>
      <c r="K98" s="84"/>
      <c r="L98" s="85"/>
      <c r="M98" s="48"/>
      <c r="N98" s="48"/>
      <c r="O98" s="25"/>
      <c r="P98" s="16"/>
      <c r="Q98" s="26"/>
      <c r="R98" s="27"/>
      <c r="S98" s="28"/>
      <c r="T98" s="29"/>
      <c r="U98" s="30"/>
      <c r="V98" s="31"/>
      <c r="W98" s="32"/>
      <c r="X98" s="32"/>
      <c r="Y98" s="32"/>
      <c r="Z98" s="32" t="str">
        <f t="shared" si="3"/>
        <v/>
      </c>
    </row>
    <row r="99" spans="1:26" ht="22.5" customHeight="1" x14ac:dyDescent="0.25">
      <c r="A99" s="32"/>
      <c r="B99" s="80"/>
      <c r="C99" s="40"/>
      <c r="D99" s="40"/>
      <c r="E99" s="81"/>
      <c r="F99" s="17"/>
      <c r="G99" s="17"/>
      <c r="H99" s="133"/>
      <c r="I99" s="82"/>
      <c r="J99" s="83"/>
      <c r="K99" s="84"/>
      <c r="L99" s="85"/>
      <c r="M99" s="48"/>
      <c r="N99" s="48"/>
      <c r="O99" s="25"/>
      <c r="P99" s="16"/>
      <c r="Q99" s="26"/>
      <c r="R99" s="27"/>
      <c r="S99" s="28"/>
      <c r="T99" s="29"/>
      <c r="U99" s="30"/>
      <c r="V99" s="31"/>
      <c r="W99" s="32"/>
      <c r="X99" s="32"/>
      <c r="Y99" s="32"/>
      <c r="Z99" s="32" t="str">
        <f t="shared" si="3"/>
        <v/>
      </c>
    </row>
    <row r="100" spans="1:26" ht="22.5" customHeight="1" x14ac:dyDescent="0.25">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c r="Z100" s="32" t="str">
        <f t="shared" si="3"/>
        <v/>
      </c>
    </row>
    <row r="101" spans="1:26" ht="22.5" customHeight="1" x14ac:dyDescent="0.25">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6" ht="22.5" customHeight="1" x14ac:dyDescent="0.25">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6" ht="22.5" customHeight="1" x14ac:dyDescent="0.25">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6" ht="22.5" customHeight="1" x14ac:dyDescent="0.25">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6" ht="22.5" customHeight="1" x14ac:dyDescent="0.25">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6" ht="22.5" customHeight="1" x14ac:dyDescent="0.25">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6" ht="22.5" customHeight="1" x14ac:dyDescent="0.25">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6" ht="22.5" customHeight="1" x14ac:dyDescent="0.25">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6" ht="22.5" customHeight="1" x14ac:dyDescent="0.25">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6" ht="22.5" customHeight="1" x14ac:dyDescent="0.25">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6" ht="22.5" customHeight="1" x14ac:dyDescent="0.25">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6" ht="22.5" customHeight="1" x14ac:dyDescent="0.25">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1"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5">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5">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5">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5">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5">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5">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5">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5">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5">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5">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5">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5">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5">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5">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5">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5">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5">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5">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5">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5">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5">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5">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5">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5">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5">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5">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5">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5">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5">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5">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5">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5">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5">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5">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5">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5">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5">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5">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5">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5">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5">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5">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5">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5">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5">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5">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5">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5">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5">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5" x14ac:dyDescent="0.25">
      <c r="A73" s="86"/>
      <c r="B73" s="86"/>
      <c r="C73" s="86"/>
      <c r="D73" s="86"/>
      <c r="E73" s="86"/>
      <c r="F73" s="86"/>
      <c r="G73" s="86"/>
      <c r="H73" s="86"/>
      <c r="I73" s="86"/>
      <c r="J73" s="86"/>
      <c r="K73" s="86"/>
      <c r="L73" s="86"/>
      <c r="M73" s="86"/>
      <c r="N73" s="86"/>
      <c r="O73" s="86"/>
      <c r="P73" s="86"/>
      <c r="Q73" s="86"/>
      <c r="R73" s="86"/>
      <c r="S73" s="86"/>
      <c r="T73" s="86"/>
      <c r="U73" s="86"/>
      <c r="V73" s="86"/>
    </row>
    <row r="74" spans="1:22" ht="12.5" x14ac:dyDescent="0.25">
      <c r="A74" s="86"/>
      <c r="B74" s="86"/>
      <c r="C74" s="86"/>
      <c r="D74" s="86"/>
      <c r="E74" s="86"/>
      <c r="F74" s="86"/>
      <c r="G74" s="86"/>
      <c r="H74" s="86"/>
      <c r="I74" s="86"/>
      <c r="J74" s="86"/>
      <c r="K74" s="86"/>
      <c r="L74" s="86"/>
      <c r="M74" s="86"/>
      <c r="N74" s="86"/>
      <c r="O74" s="86"/>
      <c r="P74" s="86"/>
      <c r="Q74" s="86"/>
      <c r="R74" s="86"/>
      <c r="S74" s="86"/>
      <c r="T74" s="86"/>
      <c r="U74" s="86"/>
      <c r="V74" s="86"/>
    </row>
    <row r="75" spans="1:22" ht="12.5" x14ac:dyDescent="0.25">
      <c r="A75" s="86"/>
      <c r="B75" s="86"/>
      <c r="C75" s="86"/>
      <c r="D75" s="86"/>
      <c r="E75" s="86"/>
      <c r="F75" s="86"/>
      <c r="G75" s="86"/>
      <c r="H75" s="86"/>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x14ac:dyDescent="0.25"/>
  <cols>
    <col min="1" max="1" width="31.54296875" customWidth="1"/>
    <col min="5" max="5" width="21.7265625" customWidth="1"/>
  </cols>
  <sheetData>
    <row r="1" spans="1:13" ht="22.5" customHeight="1" x14ac:dyDescent="0.25">
      <c r="A1" s="104" t="s">
        <v>268</v>
      </c>
      <c r="B1" s="119" t="s">
        <v>270</v>
      </c>
      <c r="C1" s="122" t="s">
        <v>269</v>
      </c>
      <c r="D1" s="118" t="s">
        <v>310</v>
      </c>
      <c r="E1" s="104" t="s">
        <v>271</v>
      </c>
    </row>
    <row r="2" spans="1:13" ht="22.5" customHeight="1" x14ac:dyDescent="0.25">
      <c r="A2" s="105" t="s">
        <v>272</v>
      </c>
      <c r="B2" s="120">
        <v>5</v>
      </c>
      <c r="C2" s="123">
        <v>1</v>
      </c>
      <c r="D2">
        <f>Table3[[#This Row],[Real]]/Table3[[#This Row],[Spiel]]</f>
        <v>5</v>
      </c>
      <c r="E2" s="105" t="s">
        <v>273</v>
      </c>
    </row>
    <row r="3" spans="1:13" ht="22.5" customHeight="1" x14ac:dyDescent="0.25">
      <c r="A3" s="106" t="s">
        <v>274</v>
      </c>
      <c r="B3" s="120">
        <v>1000</v>
      </c>
      <c r="C3" s="123">
        <v>1</v>
      </c>
      <c r="D3">
        <f>Table3[[#This Row],[Real]]/Table3[[#This Row],[Spiel]]</f>
        <v>1000</v>
      </c>
      <c r="E3" s="105" t="s">
        <v>275</v>
      </c>
    </row>
    <row r="4" spans="1:13" ht="22.5" customHeight="1" x14ac:dyDescent="0.25">
      <c r="A4" s="106" t="s">
        <v>276</v>
      </c>
      <c r="B4" s="120">
        <v>1</v>
      </c>
      <c r="C4" s="123">
        <v>1</v>
      </c>
      <c r="D4">
        <f>Table3[[#This Row],[Real]]/Table3[[#This Row],[Spiel]]</f>
        <v>1</v>
      </c>
      <c r="E4" s="116" t="s">
        <v>307</v>
      </c>
    </row>
    <row r="5" spans="1:13" ht="22.5" customHeight="1" x14ac:dyDescent="0.25">
      <c r="A5" s="106" t="s">
        <v>4</v>
      </c>
      <c r="B5" s="121">
        <v>10000</v>
      </c>
      <c r="C5" s="123">
        <v>1</v>
      </c>
      <c r="D5">
        <f>Table3[[#This Row],[Real]]/Table3[[#This Row],[Spiel]]</f>
        <v>10000</v>
      </c>
      <c r="E5" s="117" t="s">
        <v>312</v>
      </c>
    </row>
    <row r="6" spans="1:13" ht="22.5" customHeight="1" x14ac:dyDescent="0.25">
      <c r="A6" s="106" t="s">
        <v>5</v>
      </c>
      <c r="B6" s="121">
        <v>1</v>
      </c>
      <c r="C6" s="123">
        <v>1</v>
      </c>
      <c r="D6">
        <f>Table3[[#This Row],[Real]]/Table3[[#This Row],[Spiel]]</f>
        <v>1</v>
      </c>
      <c r="E6" s="117" t="s">
        <v>309</v>
      </c>
    </row>
    <row r="7" spans="1:13" ht="22.5" customHeight="1" x14ac:dyDescent="0.25">
      <c r="A7" s="106" t="s">
        <v>7</v>
      </c>
      <c r="B7" s="121">
        <v>5</v>
      </c>
      <c r="C7" s="123">
        <v>1</v>
      </c>
      <c r="D7">
        <f>Table3[[#This Row],[Real]]/Table3[[#This Row],[Spiel]]</f>
        <v>5</v>
      </c>
      <c r="E7" s="117" t="s">
        <v>311</v>
      </c>
      <c r="G7" s="107"/>
      <c r="H7" s="107"/>
      <c r="I7" s="107"/>
      <c r="J7" s="107"/>
      <c r="K7" s="107"/>
      <c r="L7" s="107"/>
      <c r="M7" s="107"/>
    </row>
    <row r="8" spans="1:13" ht="22.5" customHeight="1" x14ac:dyDescent="0.25">
      <c r="A8" s="106" t="s">
        <v>8</v>
      </c>
      <c r="B8" s="121">
        <v>5</v>
      </c>
      <c r="C8" s="123">
        <v>1</v>
      </c>
      <c r="D8">
        <f>Table3[[#This Row],[Real]]/Table3[[#This Row],[Spiel]]</f>
        <v>5</v>
      </c>
      <c r="E8" s="117" t="s">
        <v>311</v>
      </c>
      <c r="G8" s="107"/>
      <c r="H8" s="107"/>
      <c r="I8" s="107"/>
      <c r="J8" s="107"/>
      <c r="K8" s="107"/>
      <c r="L8" s="107"/>
      <c r="M8" s="107"/>
    </row>
    <row r="9" spans="1:13" ht="22.5" customHeight="1" x14ac:dyDescent="0.25">
      <c r="A9" s="106" t="s">
        <v>9</v>
      </c>
      <c r="B9" s="121">
        <v>5</v>
      </c>
      <c r="C9" s="123">
        <v>1</v>
      </c>
      <c r="D9">
        <f>Table3[[#This Row],[Real]]/Table3[[#This Row],[Spiel]]</f>
        <v>5</v>
      </c>
      <c r="E9" s="117" t="s">
        <v>311</v>
      </c>
    </row>
    <row r="10" spans="1:13" ht="22.5" customHeight="1" x14ac:dyDescent="0.25">
      <c r="A10" s="106" t="s">
        <v>277</v>
      </c>
      <c r="B10" s="120">
        <v>5</v>
      </c>
      <c r="C10" s="123">
        <v>1</v>
      </c>
      <c r="D10">
        <f>Table3[[#This Row],[Real]]/Table3[[#This Row],[Spiel]]</f>
        <v>5</v>
      </c>
      <c r="E10" s="117" t="s">
        <v>311</v>
      </c>
    </row>
    <row r="11" spans="1:13" ht="22.5" customHeight="1" x14ac:dyDescent="0.25">
      <c r="A11" s="106" t="s">
        <v>337</v>
      </c>
      <c r="B11" s="120">
        <v>20</v>
      </c>
      <c r="C11" s="123">
        <v>1</v>
      </c>
      <c r="D11">
        <f>Table3[[#This Row],[Real]]/Table3[[#This Row],[Spiel]]</f>
        <v>20</v>
      </c>
      <c r="E11" s="117" t="s">
        <v>311</v>
      </c>
    </row>
    <row r="12" spans="1:13" ht="22.5" customHeight="1" x14ac:dyDescent="0.25">
      <c r="A12" s="106" t="s">
        <v>11</v>
      </c>
      <c r="B12" s="121">
        <v>1</v>
      </c>
      <c r="C12" s="123">
        <v>1</v>
      </c>
      <c r="D12">
        <f>Table3[[#This Row],[Real]]/Table3[[#This Row],[Spiel]]</f>
        <v>1</v>
      </c>
    </row>
    <row r="13" spans="1:13" ht="15.75" customHeight="1" x14ac:dyDescent="0.25">
      <c r="A13" t="s">
        <v>319</v>
      </c>
      <c r="B13" s="120">
        <v>0.1</v>
      </c>
      <c r="C13" s="126">
        <v>1</v>
      </c>
      <c r="D13">
        <f>Table3[[#This Row],[Real]]/Table3[[#This Row],[Spiel]]</f>
        <v>0.1</v>
      </c>
      <c r="E13" t="s">
        <v>325</v>
      </c>
    </row>
    <row r="14" spans="1:13" ht="15.75" customHeight="1" x14ac:dyDescent="0.25">
      <c r="A14" t="s">
        <v>320</v>
      </c>
      <c r="B14" s="120">
        <v>0.05</v>
      </c>
      <c r="C14" s="126">
        <v>1</v>
      </c>
      <c r="D14">
        <f>Table3[[#This Row],[Real]]/Table3[[#This Row],[Spiel]]</f>
        <v>0.05</v>
      </c>
      <c r="E14" t="s">
        <v>325</v>
      </c>
    </row>
    <row r="15" spans="1:13" ht="15.75" customHeight="1" x14ac:dyDescent="0.25">
      <c r="A15" t="s">
        <v>321</v>
      </c>
      <c r="B15" s="120">
        <v>0.03</v>
      </c>
      <c r="C15" s="126">
        <v>1</v>
      </c>
      <c r="D15">
        <f>Table3[[#This Row],[Real]]/Table3[[#This Row],[Spiel]]</f>
        <v>0.03</v>
      </c>
      <c r="E15" t="s">
        <v>325</v>
      </c>
    </row>
    <row r="16" spans="1:13" ht="15.75" customHeight="1" x14ac:dyDescent="0.25">
      <c r="A16" t="s">
        <v>322</v>
      </c>
      <c r="B16" s="120">
        <v>1.4999999999999999E-2</v>
      </c>
      <c r="C16" s="126">
        <v>1</v>
      </c>
      <c r="D16">
        <f>Table3[[#This Row],[Real]]/Table3[[#This Row],[Spiel]]</f>
        <v>1.4999999999999999E-2</v>
      </c>
      <c r="E16" t="s">
        <v>325</v>
      </c>
    </row>
    <row r="17" spans="1:5" ht="15.75" customHeight="1" x14ac:dyDescent="0.25">
      <c r="A17" t="s">
        <v>323</v>
      </c>
      <c r="B17" s="120">
        <v>0</v>
      </c>
      <c r="C17" s="126">
        <v>1</v>
      </c>
      <c r="D17">
        <f>Table3[[#This Row],[Real]]/Table3[[#This Row],[Spiel]]</f>
        <v>0</v>
      </c>
      <c r="E17" t="s">
        <v>325</v>
      </c>
    </row>
    <row r="18" spans="1:5" ht="15.75" customHeight="1" x14ac:dyDescent="0.25">
      <c r="A18" t="s">
        <v>319</v>
      </c>
      <c r="B18" s="125"/>
      <c r="C18" s="126"/>
    </row>
    <row r="19" spans="1:5" ht="15.75" customHeight="1" x14ac:dyDescent="0.25">
      <c r="A19" t="s">
        <v>320</v>
      </c>
      <c r="B19" s="125"/>
      <c r="C19" s="126"/>
    </row>
    <row r="20" spans="1:5" ht="15.75" customHeight="1" x14ac:dyDescent="0.25">
      <c r="A20" t="s">
        <v>321</v>
      </c>
      <c r="B20" s="125"/>
      <c r="C20" s="126"/>
    </row>
    <row r="21" spans="1:5" ht="15.75" customHeight="1" x14ac:dyDescent="0.25">
      <c r="A21" t="s">
        <v>322</v>
      </c>
      <c r="B21" s="125"/>
      <c r="C21" s="126"/>
    </row>
    <row r="22" spans="1:5" ht="15.75" customHeight="1" x14ac:dyDescent="0.25">
      <c r="A22" t="s">
        <v>323</v>
      </c>
      <c r="B22" s="125"/>
      <c r="C22" s="126"/>
    </row>
    <row r="23" spans="1:5" ht="15.75" customHeight="1" x14ac:dyDescent="0.25">
      <c r="A23" t="s">
        <v>331</v>
      </c>
      <c r="B23" s="120">
        <v>0.1</v>
      </c>
      <c r="C23" s="126">
        <v>0.2</v>
      </c>
      <c r="D23">
        <f>Table3[[#This Row],[Real]]/Table3[[#This Row],[Spiel]]</f>
        <v>0.5</v>
      </c>
      <c r="E23" t="s">
        <v>336</v>
      </c>
    </row>
    <row r="24" spans="1:5" ht="15.75" customHeight="1" x14ac:dyDescent="0.25">
      <c r="A24" t="s">
        <v>332</v>
      </c>
      <c r="B24" s="120">
        <v>0.08</v>
      </c>
      <c r="C24" s="126">
        <v>0.2</v>
      </c>
      <c r="D24">
        <f>Table3[[#This Row],[Real]]/Table3[[#This Row],[Spiel]]</f>
        <v>0.39999999999999997</v>
      </c>
      <c r="E24" t="s">
        <v>336</v>
      </c>
    </row>
    <row r="25" spans="1:5" ht="15.75" customHeight="1" x14ac:dyDescent="0.25">
      <c r="A25" t="s">
        <v>333</v>
      </c>
      <c r="B25" s="120">
        <v>0.2</v>
      </c>
      <c r="C25" s="126">
        <v>0.2</v>
      </c>
      <c r="D25">
        <f>Table3[[#This Row],[Real]]/Table3[[#This Row],[Spiel]]</f>
        <v>1</v>
      </c>
      <c r="E25" t="s">
        <v>336</v>
      </c>
    </row>
    <row r="26" spans="1:5" ht="15.75" customHeight="1" x14ac:dyDescent="0.25">
      <c r="A26" t="s">
        <v>334</v>
      </c>
      <c r="B26" s="120">
        <v>0.5</v>
      </c>
      <c r="C26" s="126">
        <v>0.2</v>
      </c>
      <c r="D26">
        <f>Table3[[#This Row],[Real]]/Table3[[#This Row],[Spiel]]</f>
        <v>2.5</v>
      </c>
      <c r="E26" t="s">
        <v>336</v>
      </c>
    </row>
    <row r="27" spans="1:5" ht="15.75" customHeight="1" x14ac:dyDescent="0.25">
      <c r="A27" t="s">
        <v>335</v>
      </c>
      <c r="B27" s="120">
        <v>0.15</v>
      </c>
      <c r="C27" s="126">
        <v>0.2</v>
      </c>
      <c r="D27">
        <f>Table3[[#This Row],[Real]]/Table3[[#This Row],[Spiel]]</f>
        <v>0.74999999999999989</v>
      </c>
      <c r="E27" t="s">
        <v>336</v>
      </c>
    </row>
    <row r="28" spans="1:5" ht="15.75" customHeight="1" x14ac:dyDescent="0.25">
      <c r="A28" t="s">
        <v>338</v>
      </c>
      <c r="B28" s="135"/>
      <c r="C28" s="126">
        <v>2</v>
      </c>
    </row>
    <row r="29" spans="1:5" ht="15.75" customHeight="1" x14ac:dyDescent="0.25">
      <c r="A29" t="s">
        <v>339</v>
      </c>
      <c r="B29" s="120">
        <v>1</v>
      </c>
      <c r="C29" s="126">
        <v>1</v>
      </c>
      <c r="D29">
        <f>Table3[[#This Row],[Real]]/Table3[[#This Row],[Spiel]]</f>
        <v>1</v>
      </c>
    </row>
    <row r="30" spans="1:5" ht="15.75" customHeight="1" x14ac:dyDescent="0.25">
      <c r="A30" t="s">
        <v>340</v>
      </c>
      <c r="B30" s="120">
        <v>2</v>
      </c>
      <c r="C30" s="126">
        <v>1</v>
      </c>
      <c r="D30">
        <f>Table3[[#This Row],[Real]]/Table3[[#This Row],[Spiel]]</f>
        <v>2</v>
      </c>
    </row>
    <row r="31" spans="1:5" ht="15.75" customHeight="1" x14ac:dyDescent="0.25">
      <c r="A31" t="s">
        <v>341</v>
      </c>
      <c r="B31" s="120">
        <v>2.5</v>
      </c>
      <c r="C31" s="126">
        <v>1</v>
      </c>
      <c r="D31">
        <f>Table3[[#This Row],[Real]]/Table3[[#This Row],[Spiel]]</f>
        <v>2.5</v>
      </c>
    </row>
    <row r="32" spans="1:5" ht="15.75" customHeight="1" x14ac:dyDescent="0.25">
      <c r="A32" t="s">
        <v>342</v>
      </c>
      <c r="B32" s="120">
        <v>3.3330000000000002</v>
      </c>
      <c r="C32" s="126">
        <v>1</v>
      </c>
      <c r="D32">
        <f>Table3[[#This Row],[Real]]/Table3[[#This Row],[Spiel]]</f>
        <v>3.3330000000000002</v>
      </c>
    </row>
    <row r="33" spans="1:4" ht="15.75" customHeight="1" x14ac:dyDescent="0.25">
      <c r="A33" t="s">
        <v>343</v>
      </c>
      <c r="B33" s="120">
        <v>4.5454499999999998</v>
      </c>
      <c r="C33" s="126">
        <v>1</v>
      </c>
      <c r="D33">
        <f>Table3[[#This Row],[Real]]/Table3[[#This Row],[Spiel]]</f>
        <v>4.5454499999999998</v>
      </c>
    </row>
    <row r="34" spans="1:4" ht="15.75" customHeight="1" x14ac:dyDescent="0.25">
      <c r="A34" t="s">
        <v>344</v>
      </c>
      <c r="B34" s="120">
        <v>6.66</v>
      </c>
      <c r="C34" s="126">
        <v>1</v>
      </c>
      <c r="D34">
        <f>Table3[[#This Row],[Real]]/Table3[[#This Row],[Spiel]]</f>
        <v>6.66</v>
      </c>
    </row>
    <row r="35" spans="1:4" ht="15.75" customHeight="1" x14ac:dyDescent="0.25">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9" sqref="B9"/>
    </sheetView>
  </sheetViews>
  <sheetFormatPr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5">
      <c r="A2" s="105" t="s">
        <v>290</v>
      </c>
      <c r="B2" s="105">
        <v>9</v>
      </c>
      <c r="C2" s="105" t="s">
        <v>291</v>
      </c>
      <c r="D2" s="105">
        <v>-90</v>
      </c>
      <c r="E2" s="105">
        <v>-80</v>
      </c>
      <c r="F2" s="105">
        <v>-70</v>
      </c>
      <c r="G2" s="105">
        <v>-60</v>
      </c>
      <c r="H2" s="105">
        <v>-50</v>
      </c>
      <c r="I2" s="105">
        <v>-40</v>
      </c>
      <c r="J2" s="105">
        <v>-30</v>
      </c>
      <c r="K2" s="105">
        <v>-20</v>
      </c>
      <c r="L2" s="105">
        <v>-10</v>
      </c>
      <c r="M2" s="105">
        <v>0</v>
      </c>
    </row>
    <row r="3" spans="1:13" ht="22.5" customHeight="1" x14ac:dyDescent="0.25">
      <c r="A3" s="105" t="s">
        <v>7</v>
      </c>
      <c r="B3" s="105">
        <v>8</v>
      </c>
      <c r="C3" s="110" t="s">
        <v>277</v>
      </c>
      <c r="D3" s="105">
        <v>0</v>
      </c>
      <c r="E3" s="105">
        <v>1</v>
      </c>
      <c r="F3" s="105">
        <v>2</v>
      </c>
      <c r="G3" s="105">
        <v>3</v>
      </c>
      <c r="H3" s="105">
        <v>4</v>
      </c>
      <c r="I3" s="105">
        <v>5</v>
      </c>
      <c r="J3" s="105">
        <v>6</v>
      </c>
      <c r="K3" s="105">
        <v>7</v>
      </c>
      <c r="L3" s="105">
        <v>8</v>
      </c>
      <c r="M3" s="105">
        <v>9</v>
      </c>
    </row>
    <row r="4" spans="1:13" ht="22.5" customHeight="1" x14ac:dyDescent="0.25">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5">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5">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5">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5">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5">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5">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5">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5">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5">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5">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5">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5">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5">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5">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5">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5">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5">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5">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5">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5">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5">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5">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C2" sqref="C2"/>
    </sheetView>
  </sheetViews>
  <sheetFormatPr defaultColWidth="12.54296875" defaultRowHeight="15.75" customHeight="1" x14ac:dyDescent="0.25"/>
  <cols>
    <col min="4" max="8" width="13.1796875" customWidth="1"/>
  </cols>
  <sheetData>
    <row r="1" spans="1:8" ht="22.5" customHeight="1" x14ac:dyDescent="0.25">
      <c r="A1" s="104" t="s">
        <v>293</v>
      </c>
      <c r="B1" s="104" t="s">
        <v>318</v>
      </c>
      <c r="C1" s="104" t="s">
        <v>330</v>
      </c>
      <c r="D1" s="104" t="s">
        <v>298</v>
      </c>
      <c r="E1" s="104" t="s">
        <v>299</v>
      </c>
      <c r="F1" s="104" t="s">
        <v>300</v>
      </c>
      <c r="G1" s="104" t="s">
        <v>301</v>
      </c>
      <c r="H1" s="104" t="s">
        <v>302</v>
      </c>
    </row>
    <row r="2" spans="1:8" ht="22.5" customHeight="1" x14ac:dyDescent="0.25">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5">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5">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5">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5">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5">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5">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5">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5">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5">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5" x14ac:dyDescent="0.25">
      <c r="E16" s="112"/>
      <c r="F16" s="112"/>
      <c r="G16" s="112"/>
      <c r="H16" s="112"/>
    </row>
    <row r="17" spans="5:8" ht="12.5" x14ac:dyDescent="0.25">
      <c r="E17" s="112"/>
      <c r="F17" s="112"/>
      <c r="G17" s="112"/>
      <c r="H17" s="112"/>
    </row>
    <row r="18" spans="5:8" ht="12.5" x14ac:dyDescent="0.25">
      <c r="E18" s="112"/>
      <c r="F18" s="112"/>
      <c r="G18" s="112"/>
      <c r="H18" s="112"/>
    </row>
    <row r="19" spans="5:8" ht="12.5" x14ac:dyDescent="0.25">
      <c r="E19" s="112"/>
      <c r="F19" s="112"/>
      <c r="G19" s="112"/>
      <c r="H19" s="112"/>
    </row>
    <row r="20" spans="5:8" ht="12.5" x14ac:dyDescent="0.25">
      <c r="E20" s="112"/>
      <c r="F20" s="112"/>
      <c r="G20" s="112"/>
      <c r="H20" s="112"/>
    </row>
    <row r="21" spans="5:8" ht="12.5" x14ac:dyDescent="0.25">
      <c r="E21" s="112"/>
      <c r="F21" s="112"/>
      <c r="G21" s="112"/>
      <c r="H21" s="112"/>
    </row>
    <row r="22" spans="5:8" ht="12.5" x14ac:dyDescent="0.25">
      <c r="E22" s="112"/>
      <c r="F22" s="112"/>
      <c r="G22" s="112"/>
      <c r="H22" s="112"/>
    </row>
    <row r="23" spans="5:8" ht="12.5" x14ac:dyDescent="0.25">
      <c r="E23" s="112"/>
      <c r="F23" s="112"/>
      <c r="G23" s="112"/>
      <c r="H23" s="112"/>
    </row>
    <row r="24" spans="5:8" ht="12.5" x14ac:dyDescent="0.25">
      <c r="E24" s="112"/>
      <c r="F24" s="112"/>
      <c r="G24" s="112"/>
      <c r="H24" s="112"/>
    </row>
    <row r="25" spans="5:8" ht="12.5" x14ac:dyDescent="0.25">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H43" sqref="H43"/>
    </sheetView>
  </sheetViews>
  <sheetFormatPr defaultColWidth="12.54296875" defaultRowHeight="15.75" customHeight="1" x14ac:dyDescent="0.25"/>
  <cols>
    <col min="1" max="1" width="16.7265625" customWidth="1"/>
    <col min="10" max="13" width="14" customWidth="1"/>
  </cols>
  <sheetData>
    <row r="1" spans="1:12" ht="22.5" customHeight="1" x14ac:dyDescent="0.25">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5">
      <c r="A2" s="105">
        <v>0</v>
      </c>
      <c r="B2" s="105">
        <f>Table8[[#This Row],[Netzbezug]]*real_zu_spiel_netzbezug</f>
        <v>0</v>
      </c>
      <c r="C2" s="105">
        <f>Table8[[#This Row],[Netzbezug Real]]*'Mapping RealwerteSpielwerte'!$B$27</f>
        <v>0</v>
      </c>
      <c r="D2" s="111">
        <f>-Table8[[#This Row],[Kosten Real]]*'Mapping RealwerteSpielwerte'!$C$27</f>
        <v>0</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7">
        <f>Table8[[#This Row],[Netzbezug Real]]*real_zu_spiel_emissionsintensität_1*years_per_round</f>
        <v>0</v>
      </c>
      <c r="J2" s="137">
        <f>Table8[[#This Row],[Netzbezug Real]]*real_zu_spiel_emissionsintensität_2*years_per_round</f>
        <v>0</v>
      </c>
      <c r="K2" s="137">
        <f>Table8[[#This Row],[Netzbezug Real]]*real_zu_spiel_emissionsintensität_3*years_per_round</f>
        <v>0</v>
      </c>
      <c r="L2" s="137">
        <f>Table8[[#This Row],[Netzbezug Real]]*real_zu_spiel_emissionsintensität_4*years_per_round</f>
        <v>0</v>
      </c>
    </row>
    <row r="3" spans="1:12" ht="22.5" customHeight="1" x14ac:dyDescent="0.25">
      <c r="A3" s="105">
        <v>1</v>
      </c>
      <c r="B3" s="105">
        <f>Table8[[#This Row],[Netzbezug]]*real_zu_spiel_netzbezug</f>
        <v>5</v>
      </c>
      <c r="C3" s="105">
        <f>Table8[[#This Row],[Netzbezug Real]]*'Mapping RealwerteSpielwerte'!$B$27</f>
        <v>0.75</v>
      </c>
      <c r="D3" s="111">
        <f>-Table8[[#This Row],[Kosten Real]]*'Mapping RealwerteSpielwerte'!$C$27</f>
        <v>-0.15000000000000002</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7">
        <f>Table8[[#This Row],[Netzbezug Real]]*real_zu_spiel_emissionsintensität_1*years_per_round</f>
        <v>2.5</v>
      </c>
      <c r="J3" s="137">
        <f>Table8[[#This Row],[Netzbezug Real]]*real_zu_spiel_emissionsintensität_2*years_per_round</f>
        <v>1.25</v>
      </c>
      <c r="K3" s="137">
        <f>Table8[[#This Row],[Netzbezug Real]]*real_zu_spiel_emissionsintensität_3*years_per_round</f>
        <v>0.75</v>
      </c>
      <c r="L3" s="137">
        <f>Table8[[#This Row],[Netzbezug Real]]*real_zu_spiel_emissionsintensität_4*years_per_round</f>
        <v>0.375</v>
      </c>
    </row>
    <row r="4" spans="1:12" ht="22.5" customHeight="1" x14ac:dyDescent="0.25">
      <c r="A4" s="105">
        <v>2</v>
      </c>
      <c r="B4" s="105">
        <f>Table8[[#This Row],[Netzbezug]]*real_zu_spiel_netzbezug</f>
        <v>10</v>
      </c>
      <c r="C4" s="105">
        <f>Table8[[#This Row],[Netzbezug Real]]*'Mapping RealwerteSpielwerte'!$B$27</f>
        <v>1.5</v>
      </c>
      <c r="D4" s="111">
        <f>-Table8[[#This Row],[Kosten Real]]*'Mapping RealwerteSpielwerte'!$C$27</f>
        <v>-0.30000000000000004</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7">
        <f>Table8[[#This Row],[Netzbezug Real]]*real_zu_spiel_emissionsintensität_1*years_per_round</f>
        <v>5</v>
      </c>
      <c r="J4" s="137">
        <f>Table8[[#This Row],[Netzbezug Real]]*real_zu_spiel_emissionsintensität_2*years_per_round</f>
        <v>2.5</v>
      </c>
      <c r="K4" s="137">
        <f>Table8[[#This Row],[Netzbezug Real]]*real_zu_spiel_emissionsintensität_3*years_per_round</f>
        <v>1.5</v>
      </c>
      <c r="L4" s="137">
        <f>Table8[[#This Row],[Netzbezug Real]]*real_zu_spiel_emissionsintensität_4*years_per_round</f>
        <v>0.75</v>
      </c>
    </row>
    <row r="5" spans="1:12" ht="22.5" customHeight="1" x14ac:dyDescent="0.25">
      <c r="A5" s="105">
        <v>3</v>
      </c>
      <c r="B5" s="105">
        <f>Table8[[#This Row],[Netzbezug]]*real_zu_spiel_netzbezug</f>
        <v>15</v>
      </c>
      <c r="C5" s="105">
        <f>Table8[[#This Row],[Netzbezug Real]]*'Mapping RealwerteSpielwerte'!$B$27</f>
        <v>2.25</v>
      </c>
      <c r="D5" s="111">
        <f>-Table8[[#This Row],[Kosten Real]]*'Mapping RealwerteSpielwerte'!$C$27</f>
        <v>-0.45</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7">
        <f>Table8[[#This Row],[Netzbezug Real]]*real_zu_spiel_emissionsintensität_1*years_per_round</f>
        <v>7.5</v>
      </c>
      <c r="J5" s="137">
        <f>Table8[[#This Row],[Netzbezug Real]]*real_zu_spiel_emissionsintensität_2*years_per_round</f>
        <v>3.75</v>
      </c>
      <c r="K5" s="137">
        <f>Table8[[#This Row],[Netzbezug Real]]*real_zu_spiel_emissionsintensität_3*years_per_round</f>
        <v>2.25</v>
      </c>
      <c r="L5" s="137">
        <f>Table8[[#This Row],[Netzbezug Real]]*real_zu_spiel_emissionsintensität_4*years_per_round</f>
        <v>1.125</v>
      </c>
    </row>
    <row r="6" spans="1:12" ht="22.5" customHeight="1" x14ac:dyDescent="0.25">
      <c r="A6" s="105">
        <v>4</v>
      </c>
      <c r="B6" s="105">
        <f>Table8[[#This Row],[Netzbezug]]*real_zu_spiel_netzbezug</f>
        <v>20</v>
      </c>
      <c r="C6" s="105">
        <f>Table8[[#This Row],[Netzbezug Real]]*'Mapping RealwerteSpielwerte'!$B$27</f>
        <v>3</v>
      </c>
      <c r="D6" s="111">
        <f>-Table8[[#This Row],[Kosten Real]]*'Mapping RealwerteSpielwerte'!$C$27</f>
        <v>-0.60000000000000009</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7">
        <f>Table8[[#This Row],[Netzbezug Real]]*real_zu_spiel_emissionsintensität_1*years_per_round</f>
        <v>10</v>
      </c>
      <c r="J6" s="137">
        <f>Table8[[#This Row],[Netzbezug Real]]*real_zu_spiel_emissionsintensität_2*years_per_round</f>
        <v>5</v>
      </c>
      <c r="K6" s="137">
        <f>Table8[[#This Row],[Netzbezug Real]]*real_zu_spiel_emissionsintensität_3*years_per_round</f>
        <v>3</v>
      </c>
      <c r="L6" s="137">
        <f>Table8[[#This Row],[Netzbezug Real]]*real_zu_spiel_emissionsintensität_4*years_per_round</f>
        <v>1.5</v>
      </c>
    </row>
    <row r="7" spans="1:12" ht="22.5" customHeight="1" x14ac:dyDescent="0.25">
      <c r="A7" s="105">
        <v>5</v>
      </c>
      <c r="B7" s="105">
        <f>Table8[[#This Row],[Netzbezug]]*real_zu_spiel_netzbezug</f>
        <v>25</v>
      </c>
      <c r="C7" s="105">
        <f>Table8[[#This Row],[Netzbezug Real]]*'Mapping RealwerteSpielwerte'!$B$27</f>
        <v>3.75</v>
      </c>
      <c r="D7" s="111">
        <f>-Table8[[#This Row],[Kosten Real]]*'Mapping RealwerteSpielwerte'!$C$27</f>
        <v>-0.75</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7">
        <f>Table8[[#This Row],[Netzbezug Real]]*real_zu_spiel_emissionsintensität_1*years_per_round</f>
        <v>12.5</v>
      </c>
      <c r="J7" s="137">
        <f>Table8[[#This Row],[Netzbezug Real]]*real_zu_spiel_emissionsintensität_2*years_per_round</f>
        <v>6.25</v>
      </c>
      <c r="K7" s="137">
        <f>Table8[[#This Row],[Netzbezug Real]]*real_zu_spiel_emissionsintensität_3*years_per_round</f>
        <v>3.75</v>
      </c>
      <c r="L7" s="137">
        <f>Table8[[#This Row],[Netzbezug Real]]*real_zu_spiel_emissionsintensität_4*years_per_round</f>
        <v>1.875</v>
      </c>
    </row>
    <row r="8" spans="1:12" ht="22.5" customHeight="1" x14ac:dyDescent="0.25">
      <c r="A8" s="105">
        <v>6</v>
      </c>
      <c r="B8" s="105">
        <f>Table8[[#This Row],[Netzbezug]]*real_zu_spiel_netzbezug</f>
        <v>30</v>
      </c>
      <c r="C8" s="105">
        <f>Table8[[#This Row],[Netzbezug Real]]*'Mapping RealwerteSpielwerte'!$B$27</f>
        <v>4.5</v>
      </c>
      <c r="D8" s="111">
        <f>-Table8[[#This Row],[Kosten Real]]*'Mapping RealwerteSpielwerte'!$C$27</f>
        <v>-0.9</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7">
        <f>Table8[[#This Row],[Netzbezug Real]]*real_zu_spiel_emissionsintensität_1*years_per_round</f>
        <v>15</v>
      </c>
      <c r="J8" s="137">
        <f>Table8[[#This Row],[Netzbezug Real]]*real_zu_spiel_emissionsintensität_2*years_per_round</f>
        <v>7.5</v>
      </c>
      <c r="K8" s="137">
        <f>Table8[[#This Row],[Netzbezug Real]]*real_zu_spiel_emissionsintensität_3*years_per_round</f>
        <v>4.5</v>
      </c>
      <c r="L8" s="137">
        <f>Table8[[#This Row],[Netzbezug Real]]*real_zu_spiel_emissionsintensität_4*years_per_round</f>
        <v>2.25</v>
      </c>
    </row>
    <row r="9" spans="1:12" ht="22.5" customHeight="1" x14ac:dyDescent="0.25">
      <c r="A9" s="105">
        <v>7</v>
      </c>
      <c r="B9" s="105">
        <f>Table8[[#This Row],[Netzbezug]]*real_zu_spiel_netzbezug</f>
        <v>35</v>
      </c>
      <c r="C9" s="105">
        <f>Table8[[#This Row],[Netzbezug Real]]*'Mapping RealwerteSpielwerte'!$B$27</f>
        <v>5.25</v>
      </c>
      <c r="D9" s="111">
        <f>-Table8[[#This Row],[Kosten Real]]*'Mapping RealwerteSpielwerte'!$C$27</f>
        <v>-1.05</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7">
        <f>Table8[[#This Row],[Netzbezug Real]]*real_zu_spiel_emissionsintensität_1*years_per_round</f>
        <v>17.5</v>
      </c>
      <c r="J9" s="137">
        <f>Table8[[#This Row],[Netzbezug Real]]*real_zu_spiel_emissionsintensität_2*years_per_round</f>
        <v>8.75</v>
      </c>
      <c r="K9" s="137">
        <f>Table8[[#This Row],[Netzbezug Real]]*real_zu_spiel_emissionsintensität_3*years_per_round</f>
        <v>5.25</v>
      </c>
      <c r="L9" s="137">
        <f>Table8[[#This Row],[Netzbezug Real]]*real_zu_spiel_emissionsintensität_4*years_per_round</f>
        <v>2.625</v>
      </c>
    </row>
    <row r="10" spans="1:12" ht="22.5" customHeight="1" x14ac:dyDescent="0.25">
      <c r="A10" s="105">
        <v>8</v>
      </c>
      <c r="B10" s="105">
        <f>Table8[[#This Row],[Netzbezug]]*real_zu_spiel_netzbezug</f>
        <v>40</v>
      </c>
      <c r="C10" s="105">
        <f>Table8[[#This Row],[Netzbezug Real]]*'Mapping RealwerteSpielwerte'!$B$27</f>
        <v>6</v>
      </c>
      <c r="D10" s="111">
        <f>-Table8[[#This Row],[Kosten Real]]*'Mapping RealwerteSpielwerte'!$C$27</f>
        <v>-1.2000000000000002</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7">
        <f>Table8[[#This Row],[Netzbezug Real]]*real_zu_spiel_emissionsintensität_1*years_per_round</f>
        <v>20</v>
      </c>
      <c r="J10" s="137">
        <f>Table8[[#This Row],[Netzbezug Real]]*real_zu_spiel_emissionsintensität_2*years_per_round</f>
        <v>10</v>
      </c>
      <c r="K10" s="137">
        <f>Table8[[#This Row],[Netzbezug Real]]*real_zu_spiel_emissionsintensität_3*years_per_round</f>
        <v>6</v>
      </c>
      <c r="L10" s="137">
        <f>Table8[[#This Row],[Netzbezug Real]]*real_zu_spiel_emissionsintensität_4*years_per_round</f>
        <v>3</v>
      </c>
    </row>
    <row r="11" spans="1:12" ht="22.5" customHeight="1" x14ac:dyDescent="0.25">
      <c r="A11" s="105">
        <v>9</v>
      </c>
      <c r="B11" s="105">
        <f>Table8[[#This Row],[Netzbezug]]*real_zu_spiel_netzbezug</f>
        <v>45</v>
      </c>
      <c r="C11" s="105">
        <f>Table8[[#This Row],[Netzbezug Real]]*'Mapping RealwerteSpielwerte'!$B$27</f>
        <v>6.75</v>
      </c>
      <c r="D11" s="111">
        <f>-Table8[[#This Row],[Kosten Real]]*'Mapping RealwerteSpielwerte'!$C$27</f>
        <v>-1.35</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7">
        <f>Table8[[#This Row],[Netzbezug Real]]*real_zu_spiel_emissionsintensität_1*years_per_round</f>
        <v>22.5</v>
      </c>
      <c r="J11" s="137">
        <f>Table8[[#This Row],[Netzbezug Real]]*real_zu_spiel_emissionsintensität_2*years_per_round</f>
        <v>11.25</v>
      </c>
      <c r="K11" s="137">
        <f>Table8[[#This Row],[Netzbezug Real]]*real_zu_spiel_emissionsintensität_3*years_per_round</f>
        <v>6.7499999999999991</v>
      </c>
      <c r="L11" s="137">
        <f>Table8[[#This Row],[Netzbezug Real]]*real_zu_spiel_emissionsintensität_4*years_per_round</f>
        <v>3.3749999999999996</v>
      </c>
    </row>
    <row r="12" spans="1:12" ht="22.5" customHeight="1" x14ac:dyDescent="0.25">
      <c r="A12" s="105">
        <v>10</v>
      </c>
      <c r="B12" s="105">
        <f>Table8[[#This Row],[Netzbezug]]*real_zu_spiel_netzbezug</f>
        <v>50</v>
      </c>
      <c r="C12" s="105">
        <f>Table8[[#This Row],[Netzbezug Real]]*'Mapping RealwerteSpielwerte'!$B$27</f>
        <v>7.5</v>
      </c>
      <c r="D12" s="111">
        <f>-Table8[[#This Row],[Kosten Real]]*'Mapping RealwerteSpielwerte'!$C$27</f>
        <v>-1.5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7">
        <f>Table8[[#This Row],[Netzbezug Real]]*real_zu_spiel_emissionsintensität_1*years_per_round</f>
        <v>25</v>
      </c>
      <c r="J12" s="137">
        <f>Table8[[#This Row],[Netzbezug Real]]*real_zu_spiel_emissionsintensität_2*years_per_round</f>
        <v>12.5</v>
      </c>
      <c r="K12" s="137">
        <f>Table8[[#This Row],[Netzbezug Real]]*real_zu_spiel_emissionsintensität_3*years_per_round</f>
        <v>7.5</v>
      </c>
      <c r="L12" s="137">
        <f>Table8[[#This Row],[Netzbezug Real]]*real_zu_spiel_emissionsintensität_4*years_per_round</f>
        <v>3.75</v>
      </c>
    </row>
    <row r="13" spans="1:12" ht="22.5" customHeight="1" x14ac:dyDescent="0.25">
      <c r="A13" s="105">
        <v>11</v>
      </c>
      <c r="B13" s="105">
        <f>Table8[[#This Row],[Netzbezug]]*real_zu_spiel_netzbezug</f>
        <v>55</v>
      </c>
      <c r="C13" s="105">
        <f>Table8[[#This Row],[Netzbezug Real]]*'Mapping RealwerteSpielwerte'!$B$27</f>
        <v>8.25</v>
      </c>
      <c r="D13" s="111">
        <f>-Table8[[#This Row],[Kosten Real]]*'Mapping RealwerteSpielwerte'!$C$27</f>
        <v>-1.6500000000000001</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7">
        <f>Table8[[#This Row],[Netzbezug Real]]*real_zu_spiel_emissionsintensität_1*years_per_round</f>
        <v>27.5</v>
      </c>
      <c r="J13" s="137">
        <f>Table8[[#This Row],[Netzbezug Real]]*real_zu_spiel_emissionsintensität_2*years_per_round</f>
        <v>13.75</v>
      </c>
      <c r="K13" s="137">
        <f>Table8[[#This Row],[Netzbezug Real]]*real_zu_spiel_emissionsintensität_3*years_per_round</f>
        <v>8.25</v>
      </c>
      <c r="L13" s="137">
        <f>Table8[[#This Row],[Netzbezug Real]]*real_zu_spiel_emissionsintensität_4*years_per_round</f>
        <v>4.125</v>
      </c>
    </row>
    <row r="14" spans="1:12" ht="22.5" customHeight="1" x14ac:dyDescent="0.25">
      <c r="A14" s="105">
        <v>12</v>
      </c>
      <c r="B14" s="105">
        <f>Table8[[#This Row],[Netzbezug]]*real_zu_spiel_netzbezug</f>
        <v>60</v>
      </c>
      <c r="C14" s="105">
        <f>Table8[[#This Row],[Netzbezug Real]]*'Mapping RealwerteSpielwerte'!$B$27</f>
        <v>9</v>
      </c>
      <c r="D14" s="111">
        <f>-Table8[[#This Row],[Kosten Real]]*'Mapping RealwerteSpielwerte'!$C$27</f>
        <v>-1.8</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7">
        <f>Table8[[#This Row],[Netzbezug Real]]*real_zu_spiel_emissionsintensität_1*years_per_round</f>
        <v>30</v>
      </c>
      <c r="J14" s="137">
        <f>Table8[[#This Row],[Netzbezug Real]]*real_zu_spiel_emissionsintensität_2*years_per_round</f>
        <v>15</v>
      </c>
      <c r="K14" s="137">
        <f>Table8[[#This Row],[Netzbezug Real]]*real_zu_spiel_emissionsintensität_3*years_per_round</f>
        <v>9</v>
      </c>
      <c r="L14" s="137">
        <f>Table8[[#This Row],[Netzbezug Real]]*real_zu_spiel_emissionsintensität_4*years_per_round</f>
        <v>4.5</v>
      </c>
    </row>
    <row r="15" spans="1:12" ht="22.5" customHeight="1" x14ac:dyDescent="0.25">
      <c r="A15" s="105">
        <v>13</v>
      </c>
      <c r="B15" s="105">
        <f>Table8[[#This Row],[Netzbezug]]*real_zu_spiel_netzbezug</f>
        <v>65</v>
      </c>
      <c r="C15" s="105">
        <f>Table8[[#This Row],[Netzbezug Real]]*'Mapping RealwerteSpielwerte'!$B$27</f>
        <v>9.75</v>
      </c>
      <c r="D15" s="111">
        <f>-Table8[[#This Row],[Kosten Real]]*'Mapping RealwerteSpielwerte'!$C$27</f>
        <v>-1.9500000000000002</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7">
        <f>Table8[[#This Row],[Netzbezug Real]]*real_zu_spiel_emissionsintensität_1*years_per_round</f>
        <v>32.5</v>
      </c>
      <c r="J15" s="137">
        <f>Table8[[#This Row],[Netzbezug Real]]*real_zu_spiel_emissionsintensität_2*years_per_round</f>
        <v>16.25</v>
      </c>
      <c r="K15" s="137">
        <f>Table8[[#This Row],[Netzbezug Real]]*real_zu_spiel_emissionsintensität_3*years_per_round</f>
        <v>9.75</v>
      </c>
      <c r="L15" s="137">
        <f>Table8[[#This Row],[Netzbezug Real]]*real_zu_spiel_emissionsintensität_4*years_per_round</f>
        <v>4.875</v>
      </c>
    </row>
    <row r="16" spans="1:12" ht="22.5" customHeight="1" x14ac:dyDescent="0.25">
      <c r="A16" s="105">
        <v>14</v>
      </c>
      <c r="B16" s="105">
        <f>Table8[[#This Row],[Netzbezug]]*real_zu_spiel_netzbezug</f>
        <v>70</v>
      </c>
      <c r="C16" s="105">
        <f>Table8[[#This Row],[Netzbezug Real]]*'Mapping RealwerteSpielwerte'!$B$27</f>
        <v>10.5</v>
      </c>
      <c r="D16" s="111">
        <f>-Table8[[#This Row],[Kosten Real]]*'Mapping RealwerteSpielwerte'!$C$27</f>
        <v>-2.1</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7">
        <f>Table8[[#This Row],[Netzbezug Real]]*real_zu_spiel_emissionsintensität_1*years_per_round</f>
        <v>35</v>
      </c>
      <c r="J16" s="137">
        <f>Table8[[#This Row],[Netzbezug Real]]*real_zu_spiel_emissionsintensität_2*years_per_round</f>
        <v>17.5</v>
      </c>
      <c r="K16" s="137">
        <f>Table8[[#This Row],[Netzbezug Real]]*real_zu_spiel_emissionsintensität_3*years_per_round</f>
        <v>10.5</v>
      </c>
      <c r="L16" s="137">
        <f>Table8[[#This Row],[Netzbezug Real]]*real_zu_spiel_emissionsintensität_4*years_per_round</f>
        <v>5.25</v>
      </c>
    </row>
    <row r="17" spans="1:12" ht="22.5" customHeight="1" x14ac:dyDescent="0.25">
      <c r="A17" s="105">
        <v>15</v>
      </c>
      <c r="B17" s="105">
        <f>Table8[[#This Row],[Netzbezug]]*real_zu_spiel_netzbezug</f>
        <v>75</v>
      </c>
      <c r="C17" s="105">
        <f>Table8[[#This Row],[Netzbezug Real]]*'Mapping RealwerteSpielwerte'!$B$27</f>
        <v>11.25</v>
      </c>
      <c r="D17" s="111">
        <f>-Table8[[#This Row],[Kosten Real]]*'Mapping RealwerteSpielwerte'!$C$27</f>
        <v>-2.25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7">
        <f>Table8[[#This Row],[Netzbezug Real]]*real_zu_spiel_emissionsintensität_1*years_per_round</f>
        <v>37.5</v>
      </c>
      <c r="J17" s="137">
        <f>Table8[[#This Row],[Netzbezug Real]]*real_zu_spiel_emissionsintensität_2*years_per_round</f>
        <v>18.75</v>
      </c>
      <c r="K17" s="137">
        <f>Table8[[#This Row],[Netzbezug Real]]*real_zu_spiel_emissionsintensität_3*years_per_round</f>
        <v>11.25</v>
      </c>
      <c r="L17" s="137">
        <f>Table8[[#This Row],[Netzbezug Real]]*real_zu_spiel_emissionsintensität_4*years_per_round</f>
        <v>5.625</v>
      </c>
    </row>
    <row r="18" spans="1:12" ht="22.5" customHeight="1" x14ac:dyDescent="0.25">
      <c r="A18" s="105">
        <v>16</v>
      </c>
      <c r="B18" s="105">
        <f>Table8[[#This Row],[Netzbezug]]*real_zu_spiel_netzbezug</f>
        <v>80</v>
      </c>
      <c r="C18" s="105">
        <f>Table8[[#This Row],[Netzbezug Real]]*'Mapping RealwerteSpielwerte'!$B$27</f>
        <v>12</v>
      </c>
      <c r="D18" s="111">
        <f>-Table8[[#This Row],[Kosten Real]]*'Mapping RealwerteSpielwerte'!$C$27</f>
        <v>-2.4000000000000004</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7">
        <f>Table8[[#This Row],[Netzbezug Real]]*real_zu_spiel_emissionsintensität_1*years_per_round</f>
        <v>40</v>
      </c>
      <c r="J18" s="137">
        <f>Table8[[#This Row],[Netzbezug Real]]*real_zu_spiel_emissionsintensität_2*years_per_round</f>
        <v>20</v>
      </c>
      <c r="K18" s="137">
        <f>Table8[[#This Row],[Netzbezug Real]]*real_zu_spiel_emissionsintensität_3*years_per_round</f>
        <v>12</v>
      </c>
      <c r="L18" s="137">
        <f>Table8[[#This Row],[Netzbezug Real]]*real_zu_spiel_emissionsintensität_4*years_per_round</f>
        <v>6</v>
      </c>
    </row>
    <row r="19" spans="1:12" ht="22.5" customHeight="1" x14ac:dyDescent="0.25">
      <c r="A19" s="105">
        <v>17</v>
      </c>
      <c r="B19" s="105">
        <f>Table8[[#This Row],[Netzbezug]]*real_zu_spiel_netzbezug</f>
        <v>85</v>
      </c>
      <c r="C19" s="105">
        <f>Table8[[#This Row],[Netzbezug Real]]*'Mapping RealwerteSpielwerte'!$B$27</f>
        <v>12.75</v>
      </c>
      <c r="D19" s="111">
        <f>-Table8[[#This Row],[Kosten Real]]*'Mapping RealwerteSpielwerte'!$C$27</f>
        <v>-2.5500000000000003</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7">
        <f>Table8[[#This Row],[Netzbezug Real]]*real_zu_spiel_emissionsintensität_1*years_per_round</f>
        <v>42.5</v>
      </c>
      <c r="J19" s="137">
        <f>Table8[[#This Row],[Netzbezug Real]]*real_zu_spiel_emissionsintensität_2*years_per_round</f>
        <v>21.25</v>
      </c>
      <c r="K19" s="137">
        <f>Table8[[#This Row],[Netzbezug Real]]*real_zu_spiel_emissionsintensität_3*years_per_round</f>
        <v>12.75</v>
      </c>
      <c r="L19" s="137">
        <f>Table8[[#This Row],[Netzbezug Real]]*real_zu_spiel_emissionsintensität_4*years_per_round</f>
        <v>6.375</v>
      </c>
    </row>
    <row r="20" spans="1:12" ht="22.5" customHeight="1" x14ac:dyDescent="0.25">
      <c r="A20" s="105">
        <v>18</v>
      </c>
      <c r="B20" s="105">
        <f>Table8[[#This Row],[Netzbezug]]*real_zu_spiel_netzbezug</f>
        <v>90</v>
      </c>
      <c r="C20" s="105">
        <f>Table8[[#This Row],[Netzbezug Real]]*'Mapping RealwerteSpielwerte'!$B$27</f>
        <v>13.5</v>
      </c>
      <c r="D20" s="111">
        <f>-Table8[[#This Row],[Kosten Real]]*'Mapping RealwerteSpielwerte'!$C$27</f>
        <v>-2.7</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7">
        <f>Table8[[#This Row],[Netzbezug Real]]*real_zu_spiel_emissionsintensität_1*years_per_round</f>
        <v>45</v>
      </c>
      <c r="J20" s="137">
        <f>Table8[[#This Row],[Netzbezug Real]]*real_zu_spiel_emissionsintensität_2*years_per_round</f>
        <v>22.5</v>
      </c>
      <c r="K20" s="137">
        <f>Table8[[#This Row],[Netzbezug Real]]*real_zu_spiel_emissionsintensität_3*years_per_round</f>
        <v>13.499999999999998</v>
      </c>
      <c r="L20" s="137">
        <f>Table8[[#This Row],[Netzbezug Real]]*real_zu_spiel_emissionsintensität_4*years_per_round</f>
        <v>6.7499999999999991</v>
      </c>
    </row>
    <row r="21" spans="1:12" ht="22.5" customHeight="1" x14ac:dyDescent="0.25">
      <c r="A21" s="105">
        <v>19</v>
      </c>
      <c r="B21" s="105">
        <f>Table8[[#This Row],[Netzbezug]]*real_zu_spiel_netzbezug</f>
        <v>95</v>
      </c>
      <c r="C21" s="105">
        <f>Table8[[#This Row],[Netzbezug Real]]*'Mapping RealwerteSpielwerte'!$B$27</f>
        <v>14.25</v>
      </c>
      <c r="D21" s="111">
        <f>-Table8[[#This Row],[Kosten Real]]*'Mapping RealwerteSpielwerte'!$C$27</f>
        <v>-2.85</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7">
        <f>Table8[[#This Row],[Netzbezug Real]]*real_zu_spiel_emissionsintensität_1*years_per_round</f>
        <v>47.5</v>
      </c>
      <c r="J21" s="137">
        <f>Table8[[#This Row],[Netzbezug Real]]*real_zu_spiel_emissionsintensität_2*years_per_round</f>
        <v>23.75</v>
      </c>
      <c r="K21" s="137">
        <f>Table8[[#This Row],[Netzbezug Real]]*real_zu_spiel_emissionsintensität_3*years_per_round</f>
        <v>14.25</v>
      </c>
      <c r="L21" s="137">
        <f>Table8[[#This Row],[Netzbezug Real]]*real_zu_spiel_emissionsintensität_4*years_per_round</f>
        <v>7.125</v>
      </c>
    </row>
    <row r="22" spans="1:12" ht="22.5" customHeight="1" x14ac:dyDescent="0.25">
      <c r="A22" s="105">
        <v>20</v>
      </c>
      <c r="B22" s="105">
        <f>Table8[[#This Row],[Netzbezug]]*real_zu_spiel_netzbezug</f>
        <v>100</v>
      </c>
      <c r="C22" s="105">
        <f>Table8[[#This Row],[Netzbezug Real]]*'Mapping RealwerteSpielwerte'!$B$27</f>
        <v>15</v>
      </c>
      <c r="D22" s="111">
        <f>-Table8[[#This Row],[Kosten Real]]*'Mapping RealwerteSpielwerte'!$C$27</f>
        <v>-3</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7">
        <f>Table8[[#This Row],[Netzbezug Real]]*real_zu_spiel_emissionsintensität_1*years_per_round</f>
        <v>50</v>
      </c>
      <c r="J22" s="137">
        <f>Table8[[#This Row],[Netzbezug Real]]*real_zu_spiel_emissionsintensität_2*years_per_round</f>
        <v>25</v>
      </c>
      <c r="K22" s="137">
        <f>Table8[[#This Row],[Netzbezug Real]]*real_zu_spiel_emissionsintensität_3*years_per_round</f>
        <v>15</v>
      </c>
      <c r="L22" s="137">
        <f>Table8[[#This Row],[Netzbezug Real]]*real_zu_spiel_emissionsintensität_4*years_per_round</f>
        <v>7.5</v>
      </c>
    </row>
    <row r="23" spans="1:12" ht="15.75" customHeight="1" x14ac:dyDescent="0.25">
      <c r="A23" s="105">
        <v>21</v>
      </c>
      <c r="B23" s="105">
        <f>Table8[[#This Row],[Netzbezug]]*real_zu_spiel_netzbezug</f>
        <v>105</v>
      </c>
      <c r="C23" s="105">
        <f>Table8[[#This Row],[Netzbezug Real]]*'Mapping RealwerteSpielwerte'!$B$27</f>
        <v>15.75</v>
      </c>
      <c r="D23" s="111">
        <f>-Table8[[#This Row],[Kosten Real]]*'Mapping RealwerteSpielwerte'!$C$27</f>
        <v>-3.1500000000000004</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7">
        <f>Table8[[#This Row],[Netzbezug Real]]*real_zu_spiel_emissionsintensität_1*years_per_round</f>
        <v>52.5</v>
      </c>
      <c r="J23" s="137">
        <f>Table8[[#This Row],[Netzbezug Real]]*real_zu_spiel_emissionsintensität_2*years_per_round</f>
        <v>26.25</v>
      </c>
      <c r="K23" s="137">
        <f>Table8[[#This Row],[Netzbezug Real]]*real_zu_spiel_emissionsintensität_3*years_per_round</f>
        <v>15.75</v>
      </c>
      <c r="L23" s="137">
        <f>Table8[[#This Row],[Netzbezug Real]]*real_zu_spiel_emissionsintensität_4*years_per_round</f>
        <v>7.875</v>
      </c>
    </row>
    <row r="24" spans="1:12" ht="15.75" customHeight="1" x14ac:dyDescent="0.25">
      <c r="A24" s="105">
        <v>22</v>
      </c>
      <c r="B24" s="105">
        <f>Table8[[#This Row],[Netzbezug]]*real_zu_spiel_netzbezug</f>
        <v>110</v>
      </c>
      <c r="C24" s="105">
        <f>Table8[[#This Row],[Netzbezug Real]]*'Mapping RealwerteSpielwerte'!$B$27</f>
        <v>16.5</v>
      </c>
      <c r="D24" s="111">
        <f>-Table8[[#This Row],[Kosten Real]]*'Mapping RealwerteSpielwerte'!$C$27</f>
        <v>-3.3000000000000003</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7">
        <f>Table8[[#This Row],[Netzbezug Real]]*real_zu_spiel_emissionsintensität_1*years_per_round</f>
        <v>55</v>
      </c>
      <c r="J24" s="137">
        <f>Table8[[#This Row],[Netzbezug Real]]*real_zu_spiel_emissionsintensität_2*years_per_round</f>
        <v>27.5</v>
      </c>
      <c r="K24" s="137">
        <f>Table8[[#This Row],[Netzbezug Real]]*real_zu_spiel_emissionsintensität_3*years_per_round</f>
        <v>16.5</v>
      </c>
      <c r="L24" s="137">
        <f>Table8[[#This Row],[Netzbezug Real]]*real_zu_spiel_emissionsintensität_4*years_per_round</f>
        <v>8.25</v>
      </c>
    </row>
    <row r="25" spans="1:12" ht="15.75" customHeight="1" x14ac:dyDescent="0.25">
      <c r="A25" s="105">
        <v>23</v>
      </c>
      <c r="B25" s="105">
        <f>Table8[[#This Row],[Netzbezug]]*real_zu_spiel_netzbezug</f>
        <v>115</v>
      </c>
      <c r="C25" s="105">
        <f>Table8[[#This Row],[Netzbezug Real]]*'Mapping RealwerteSpielwerte'!$B$27</f>
        <v>17.25</v>
      </c>
      <c r="D25" s="111">
        <f>-Table8[[#This Row],[Kosten Real]]*'Mapping RealwerteSpielwerte'!$C$27</f>
        <v>-3.45</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7">
        <f>Table8[[#This Row],[Netzbezug Real]]*real_zu_spiel_emissionsintensität_1*years_per_round</f>
        <v>57.5</v>
      </c>
      <c r="J25" s="137">
        <f>Table8[[#This Row],[Netzbezug Real]]*real_zu_spiel_emissionsintensität_2*years_per_round</f>
        <v>28.75</v>
      </c>
      <c r="K25" s="137">
        <f>Table8[[#This Row],[Netzbezug Real]]*real_zu_spiel_emissionsintensität_3*years_per_round</f>
        <v>17.25</v>
      </c>
      <c r="L25" s="137">
        <f>Table8[[#This Row],[Netzbezug Real]]*real_zu_spiel_emissionsintensität_4*years_per_round</f>
        <v>8.625</v>
      </c>
    </row>
    <row r="26" spans="1:12" ht="15.75" customHeight="1" x14ac:dyDescent="0.25">
      <c r="A26" s="105">
        <v>24</v>
      </c>
      <c r="B26" s="105">
        <f>Table8[[#This Row],[Netzbezug]]*real_zu_spiel_netzbezug</f>
        <v>120</v>
      </c>
      <c r="C26" s="105">
        <f>Table8[[#This Row],[Netzbezug Real]]*'Mapping RealwerteSpielwerte'!$B$27</f>
        <v>18</v>
      </c>
      <c r="D26" s="111">
        <f>-Table8[[#This Row],[Kosten Real]]*'Mapping RealwerteSpielwerte'!$C$27</f>
        <v>-3.6</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7">
        <f>Table8[[#This Row],[Netzbezug Real]]*real_zu_spiel_emissionsintensität_1*years_per_round</f>
        <v>60</v>
      </c>
      <c r="J26" s="137">
        <f>Table8[[#This Row],[Netzbezug Real]]*real_zu_spiel_emissionsintensität_2*years_per_round</f>
        <v>30</v>
      </c>
      <c r="K26" s="137">
        <f>Table8[[#This Row],[Netzbezug Real]]*real_zu_spiel_emissionsintensität_3*years_per_round</f>
        <v>18</v>
      </c>
      <c r="L26" s="137">
        <f>Table8[[#This Row],[Netzbezug Real]]*real_zu_spiel_emissionsintensität_4*years_per_round</f>
        <v>9</v>
      </c>
    </row>
    <row r="27" spans="1:12" ht="15.75" customHeight="1" x14ac:dyDescent="0.25">
      <c r="A27" s="105">
        <v>25</v>
      </c>
      <c r="B27" s="105">
        <f>Table8[[#This Row],[Netzbezug]]*real_zu_spiel_netzbezug</f>
        <v>125</v>
      </c>
      <c r="C27" s="105">
        <f>Table8[[#This Row],[Netzbezug Real]]*'Mapping RealwerteSpielwerte'!$B$27</f>
        <v>18.75</v>
      </c>
      <c r="D27" s="111">
        <f>-Table8[[#This Row],[Kosten Real]]*'Mapping RealwerteSpielwerte'!$C$27</f>
        <v>-3.75</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7">
        <f>Table8[[#This Row],[Netzbezug Real]]*real_zu_spiel_emissionsintensität_1*years_per_round</f>
        <v>62.5</v>
      </c>
      <c r="J27" s="137">
        <f>Table8[[#This Row],[Netzbezug Real]]*real_zu_spiel_emissionsintensität_2*years_per_round</f>
        <v>31.25</v>
      </c>
      <c r="K27" s="137">
        <f>Table8[[#This Row],[Netzbezug Real]]*real_zu_spiel_emissionsintensität_3*years_per_round</f>
        <v>18.75</v>
      </c>
      <c r="L27" s="137">
        <f>Table8[[#This Row],[Netzbezug Real]]*real_zu_spiel_emissionsintensität_4*years_per_round</f>
        <v>9.375</v>
      </c>
    </row>
    <row r="28" spans="1:12" ht="15.75" customHeight="1" x14ac:dyDescent="0.25">
      <c r="A28" s="105">
        <v>26</v>
      </c>
      <c r="B28" s="105">
        <f>Table8[[#This Row],[Netzbezug]]*real_zu_spiel_netzbezug</f>
        <v>130</v>
      </c>
      <c r="C28" s="105">
        <f>Table8[[#This Row],[Netzbezug Real]]*'Mapping RealwerteSpielwerte'!$B$27</f>
        <v>19.5</v>
      </c>
      <c r="D28" s="111">
        <f>-Table8[[#This Row],[Kosten Real]]*'Mapping RealwerteSpielwerte'!$C$27</f>
        <v>-3.9000000000000004</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7">
        <f>Table8[[#This Row],[Netzbezug Real]]*real_zu_spiel_emissionsintensität_1*years_per_round</f>
        <v>65</v>
      </c>
      <c r="J28" s="137">
        <f>Table8[[#This Row],[Netzbezug Real]]*real_zu_spiel_emissionsintensität_2*years_per_round</f>
        <v>32.5</v>
      </c>
      <c r="K28" s="137">
        <f>Table8[[#This Row],[Netzbezug Real]]*real_zu_spiel_emissionsintensität_3*years_per_round</f>
        <v>19.5</v>
      </c>
      <c r="L28" s="137">
        <f>Table8[[#This Row],[Netzbezug Real]]*real_zu_spiel_emissionsintensität_4*years_per_round</f>
        <v>9.75</v>
      </c>
    </row>
    <row r="29" spans="1:12" ht="15.75" customHeight="1" x14ac:dyDescent="0.25">
      <c r="A29" s="105">
        <v>27</v>
      </c>
      <c r="B29" s="105">
        <f>Table8[[#This Row],[Netzbezug]]*real_zu_spiel_netzbezug</f>
        <v>135</v>
      </c>
      <c r="C29" s="105">
        <f>Table8[[#This Row],[Netzbezug Real]]*'Mapping RealwerteSpielwerte'!$B$27</f>
        <v>20.25</v>
      </c>
      <c r="D29" s="111">
        <f>-Table8[[#This Row],[Kosten Real]]*'Mapping RealwerteSpielwerte'!$C$27</f>
        <v>-4.05</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7">
        <f>Table8[[#This Row],[Netzbezug Real]]*real_zu_spiel_emissionsintensität_1*years_per_round</f>
        <v>67.5</v>
      </c>
      <c r="J29" s="137">
        <f>Table8[[#This Row],[Netzbezug Real]]*real_zu_spiel_emissionsintensität_2*years_per_round</f>
        <v>33.75</v>
      </c>
      <c r="K29" s="137">
        <f>Table8[[#This Row],[Netzbezug Real]]*real_zu_spiel_emissionsintensität_3*years_per_round</f>
        <v>20.25</v>
      </c>
      <c r="L29" s="137">
        <f>Table8[[#This Row],[Netzbezug Real]]*real_zu_spiel_emissionsintensität_4*years_per_round</f>
        <v>10.125</v>
      </c>
    </row>
    <row r="30" spans="1:12" ht="15.75" customHeight="1" x14ac:dyDescent="0.25">
      <c r="A30" s="105">
        <v>28</v>
      </c>
      <c r="B30" s="105">
        <f>Table8[[#This Row],[Netzbezug]]*real_zu_spiel_netzbezug</f>
        <v>140</v>
      </c>
      <c r="C30" s="105">
        <f>Table8[[#This Row],[Netzbezug Real]]*'Mapping RealwerteSpielwerte'!$B$27</f>
        <v>21</v>
      </c>
      <c r="D30" s="111">
        <f>-Table8[[#This Row],[Kosten Real]]*'Mapping RealwerteSpielwerte'!$C$27</f>
        <v>-4.2</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7">
        <f>Table8[[#This Row],[Netzbezug Real]]*real_zu_spiel_emissionsintensität_1*years_per_round</f>
        <v>70</v>
      </c>
      <c r="J30" s="137">
        <f>Table8[[#This Row],[Netzbezug Real]]*real_zu_spiel_emissionsintensität_2*years_per_round</f>
        <v>35</v>
      </c>
      <c r="K30" s="137">
        <f>Table8[[#This Row],[Netzbezug Real]]*real_zu_spiel_emissionsintensität_3*years_per_round</f>
        <v>21</v>
      </c>
      <c r="L30" s="137">
        <f>Table8[[#This Row],[Netzbezug Real]]*real_zu_spiel_emissionsintensität_4*years_per_round</f>
        <v>10.5</v>
      </c>
    </row>
    <row r="31" spans="1:12" ht="15.75" customHeight="1" x14ac:dyDescent="0.25">
      <c r="A31" s="105">
        <v>29</v>
      </c>
      <c r="B31" s="105">
        <f>Table8[[#This Row],[Netzbezug]]*real_zu_spiel_netzbezug</f>
        <v>145</v>
      </c>
      <c r="C31" s="105">
        <f>Table8[[#This Row],[Netzbezug Real]]*'Mapping RealwerteSpielwerte'!$B$27</f>
        <v>21.75</v>
      </c>
      <c r="D31" s="111">
        <f>-Table8[[#This Row],[Kosten Real]]*'Mapping RealwerteSpielwerte'!$C$27</f>
        <v>-4.3500000000000005</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7">
        <f>Table8[[#This Row],[Netzbezug Real]]*real_zu_spiel_emissionsintensität_1*years_per_round</f>
        <v>72.5</v>
      </c>
      <c r="J31" s="137">
        <f>Table8[[#This Row],[Netzbezug Real]]*real_zu_spiel_emissionsintensität_2*years_per_round</f>
        <v>36.25</v>
      </c>
      <c r="K31" s="137">
        <f>Table8[[#This Row],[Netzbezug Real]]*real_zu_spiel_emissionsintensität_3*years_per_round</f>
        <v>21.75</v>
      </c>
      <c r="L31" s="137">
        <f>Table8[[#This Row],[Netzbezug Real]]*real_zu_spiel_emissionsintensität_4*years_per_round</f>
        <v>10.875</v>
      </c>
    </row>
    <row r="32" spans="1:12" ht="15.75" customHeight="1" x14ac:dyDescent="0.25">
      <c r="A32" s="105">
        <v>30</v>
      </c>
      <c r="B32" s="105">
        <f>Table8[[#This Row],[Netzbezug]]*real_zu_spiel_netzbezug</f>
        <v>150</v>
      </c>
      <c r="C32" s="105">
        <f>Table8[[#This Row],[Netzbezug Real]]*'Mapping RealwerteSpielwerte'!$B$27</f>
        <v>22.5</v>
      </c>
      <c r="D32" s="111">
        <f>-Table8[[#This Row],[Kosten Real]]*'Mapping RealwerteSpielwerte'!$C$27</f>
        <v>-4.5</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7">
        <f>Table8[[#This Row],[Netzbezug Real]]*real_zu_spiel_emissionsintensität_1*years_per_round</f>
        <v>75</v>
      </c>
      <c r="J32" s="137">
        <f>Table8[[#This Row],[Netzbezug Real]]*real_zu_spiel_emissionsintensität_2*years_per_round</f>
        <v>37.5</v>
      </c>
      <c r="K32" s="137">
        <f>Table8[[#This Row],[Netzbezug Real]]*real_zu_spiel_emissionsintensität_3*years_per_round</f>
        <v>22.5</v>
      </c>
      <c r="L32" s="137">
        <f>Table8[[#This Row],[Netzbezug Real]]*real_zu_spiel_emissionsintensität_4*years_per_round</f>
        <v>11.25</v>
      </c>
    </row>
    <row r="33" spans="1:12" ht="15.75" customHeight="1" x14ac:dyDescent="0.25">
      <c r="A33" s="105">
        <v>31</v>
      </c>
      <c r="B33" s="105">
        <f>Table8[[#This Row],[Netzbezug]]*real_zu_spiel_netzbezug</f>
        <v>155</v>
      </c>
      <c r="C33" s="105">
        <f>Table8[[#This Row],[Netzbezug Real]]*'Mapping RealwerteSpielwerte'!$B$27</f>
        <v>23.25</v>
      </c>
      <c r="D33" s="111">
        <f>-Table8[[#This Row],[Kosten Real]]*'Mapping RealwerteSpielwerte'!$C$27</f>
        <v>-4.6500000000000004</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7">
        <f>Table8[[#This Row],[Netzbezug Real]]*real_zu_spiel_emissionsintensität_1*years_per_round</f>
        <v>77.5</v>
      </c>
      <c r="J33" s="137">
        <f>Table8[[#This Row],[Netzbezug Real]]*real_zu_spiel_emissionsintensität_2*years_per_round</f>
        <v>38.75</v>
      </c>
      <c r="K33" s="137">
        <f>Table8[[#This Row],[Netzbezug Real]]*real_zu_spiel_emissionsintensität_3*years_per_round</f>
        <v>23.249999999999996</v>
      </c>
      <c r="L33" s="137">
        <f>Table8[[#This Row],[Netzbezug Real]]*real_zu_spiel_emissionsintensität_4*years_per_round</f>
        <v>11.624999999999998</v>
      </c>
    </row>
    <row r="34" spans="1:12" ht="15.75" customHeight="1" x14ac:dyDescent="0.25">
      <c r="A34" s="105">
        <v>32</v>
      </c>
      <c r="B34" s="105">
        <f>Table8[[#This Row],[Netzbezug]]*real_zu_spiel_netzbezug</f>
        <v>160</v>
      </c>
      <c r="C34" s="105">
        <f>Table8[[#This Row],[Netzbezug Real]]*'Mapping RealwerteSpielwerte'!$B$27</f>
        <v>24</v>
      </c>
      <c r="D34" s="111">
        <f>-Table8[[#This Row],[Kosten Real]]*'Mapping RealwerteSpielwerte'!$C$27</f>
        <v>-4.8000000000000007</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7">
        <f>Table8[[#This Row],[Netzbezug Real]]*real_zu_spiel_emissionsintensität_1*years_per_round</f>
        <v>80</v>
      </c>
      <c r="J34" s="137">
        <f>Table8[[#This Row],[Netzbezug Real]]*real_zu_spiel_emissionsintensität_2*years_per_round</f>
        <v>40</v>
      </c>
      <c r="K34" s="137">
        <f>Table8[[#This Row],[Netzbezug Real]]*real_zu_spiel_emissionsintensität_3*years_per_round</f>
        <v>24</v>
      </c>
      <c r="L34" s="137">
        <f>Table8[[#This Row],[Netzbezug Real]]*real_zu_spiel_emissionsintensität_4*years_per_round</f>
        <v>12</v>
      </c>
    </row>
    <row r="35" spans="1:12" ht="15.75" customHeight="1" x14ac:dyDescent="0.25">
      <c r="A35" s="105">
        <v>33</v>
      </c>
      <c r="B35" s="105">
        <f>Table8[[#This Row],[Netzbezug]]*real_zu_spiel_netzbezug</f>
        <v>165</v>
      </c>
      <c r="C35" s="105">
        <f>Table8[[#This Row],[Netzbezug Real]]*'Mapping RealwerteSpielwerte'!$B$27</f>
        <v>24.75</v>
      </c>
      <c r="D35" s="111">
        <f>-Table8[[#This Row],[Kosten Real]]*'Mapping RealwerteSpielwerte'!$C$27</f>
        <v>-4.95</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7">
        <f>Table8[[#This Row],[Netzbezug Real]]*real_zu_spiel_emissionsintensität_1*years_per_round</f>
        <v>82.5</v>
      </c>
      <c r="J35" s="137">
        <f>Table8[[#This Row],[Netzbezug Real]]*real_zu_spiel_emissionsintensität_2*years_per_round</f>
        <v>41.25</v>
      </c>
      <c r="K35" s="137">
        <f>Table8[[#This Row],[Netzbezug Real]]*real_zu_spiel_emissionsintensität_3*years_per_round</f>
        <v>24.75</v>
      </c>
      <c r="L35" s="137">
        <f>Table8[[#This Row],[Netzbezug Real]]*real_zu_spiel_emissionsintensität_4*years_per_round</f>
        <v>12.375</v>
      </c>
    </row>
    <row r="36" spans="1:12" ht="15.75" customHeight="1" x14ac:dyDescent="0.25">
      <c r="A36" s="105">
        <v>34</v>
      </c>
      <c r="B36" s="105">
        <f>Table8[[#This Row],[Netzbezug]]*real_zu_spiel_netzbezug</f>
        <v>170</v>
      </c>
      <c r="C36" s="105">
        <f>Table8[[#This Row],[Netzbezug Real]]*'Mapping RealwerteSpielwerte'!$B$27</f>
        <v>25.5</v>
      </c>
      <c r="D36" s="111">
        <f>-Table8[[#This Row],[Kosten Real]]*'Mapping RealwerteSpielwerte'!$C$27</f>
        <v>-5.1000000000000005</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7">
        <f>Table8[[#This Row],[Netzbezug Real]]*real_zu_spiel_emissionsintensität_1*years_per_round</f>
        <v>85</v>
      </c>
      <c r="J36" s="137">
        <f>Table8[[#This Row],[Netzbezug Real]]*real_zu_spiel_emissionsintensität_2*years_per_round</f>
        <v>42.5</v>
      </c>
      <c r="K36" s="137">
        <f>Table8[[#This Row],[Netzbezug Real]]*real_zu_spiel_emissionsintensität_3*years_per_round</f>
        <v>25.5</v>
      </c>
      <c r="L36" s="137">
        <f>Table8[[#This Row],[Netzbezug Real]]*real_zu_spiel_emissionsintensität_4*years_per_round</f>
        <v>12.75</v>
      </c>
    </row>
    <row r="37" spans="1:12" ht="15.75" customHeight="1" x14ac:dyDescent="0.25">
      <c r="A37" s="105">
        <v>35</v>
      </c>
      <c r="B37" s="105">
        <f>Table8[[#This Row],[Netzbezug]]*real_zu_spiel_netzbezug</f>
        <v>175</v>
      </c>
      <c r="C37" s="105">
        <f>Table8[[#This Row],[Netzbezug Real]]*'Mapping RealwerteSpielwerte'!$B$27</f>
        <v>26.25</v>
      </c>
      <c r="D37" s="111">
        <f>-Table8[[#This Row],[Kosten Real]]*'Mapping RealwerteSpielwerte'!$C$27</f>
        <v>-5.25</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7">
        <f>Table8[[#This Row],[Netzbezug Real]]*real_zu_spiel_emissionsintensität_1*years_per_round</f>
        <v>87.5</v>
      </c>
      <c r="J37" s="137">
        <f>Table8[[#This Row],[Netzbezug Real]]*real_zu_spiel_emissionsintensität_2*years_per_round</f>
        <v>43.75</v>
      </c>
      <c r="K37" s="137">
        <f>Table8[[#This Row],[Netzbezug Real]]*real_zu_spiel_emissionsintensität_3*years_per_round</f>
        <v>26.25</v>
      </c>
      <c r="L37" s="137">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Verweyen</cp:lastModifiedBy>
  <dcterms:modified xsi:type="dcterms:W3CDTF">2026-08-21T13:02:18Z</dcterms:modified>
</cp:coreProperties>
</file>