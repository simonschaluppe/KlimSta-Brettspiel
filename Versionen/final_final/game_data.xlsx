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final_low_money\"/>
    </mc:Choice>
  </mc:AlternateContent>
  <xr:revisionPtr revIDLastSave="0" documentId="8_{46E7229E-753F-44E0-BFD0-63AC76D8ED7D}" xr6:coauthVersionLast="47" xr6:coauthVersionMax="47" xr10:uidLastSave="{00000000-0000-0000-0000-000000000000}"/>
  <bookViews>
    <workbookView xWindow="12660" yWindow="-17484" windowWidth="30936" windowHeight="16776" tabRatio="721" activeTab="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H24" i="2"/>
  <c r="H21" i="2"/>
  <c r="G53" i="1" l="1"/>
  <c r="G33" i="1"/>
  <c r="G67" i="1"/>
  <c r="G19" i="1"/>
  <c r="G4" i="1"/>
  <c r="G69" i="1"/>
  <c r="G55" i="1"/>
  <c r="G39" i="1"/>
  <c r="G25"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68" i="1"/>
  <c r="G54" i="1"/>
  <c r="G37" i="1"/>
  <c r="G23" i="1"/>
  <c r="G5" i="1"/>
  <c r="G51" i="1"/>
  <c r="G61" i="1"/>
  <c r="G30" i="1"/>
  <c r="G16" i="1"/>
  <c r="G32" i="1"/>
  <c r="G29" i="1"/>
  <c r="G18" i="1"/>
  <c r="G60" i="1"/>
  <c r="G44" i="1"/>
  <c r="G15" i="1"/>
  <c r="G72" i="1"/>
  <c r="G43" i="1"/>
  <c r="G13" i="1"/>
  <c r="G65" i="1"/>
  <c r="G2" i="1"/>
  <c r="G46" i="1"/>
  <c r="G58" i="1"/>
  <c r="G27" i="1"/>
  <c r="J66" i="1"/>
  <c r="J58" i="1"/>
  <c r="J50" i="1"/>
  <c r="J42" i="1"/>
  <c r="J34" i="1"/>
  <c r="J26" i="1"/>
  <c r="J18" i="1"/>
  <c r="J10" i="1"/>
  <c r="J2" i="1"/>
  <c r="J65" i="1"/>
  <c r="J57" i="1"/>
  <c r="J49" i="1"/>
  <c r="J41" i="1"/>
  <c r="J33" i="1"/>
  <c r="J25" i="1"/>
  <c r="J17" i="1"/>
  <c r="J9" i="1"/>
  <c r="J70" i="1"/>
  <c r="J62" i="1"/>
  <c r="J54" i="1"/>
  <c r="J46" i="1"/>
  <c r="J38" i="1"/>
  <c r="J30" i="1"/>
  <c r="J22" i="1"/>
  <c r="J14" i="1"/>
  <c r="J6" i="1"/>
  <c r="J67" i="1"/>
  <c r="J53" i="1"/>
  <c r="J40" i="1"/>
  <c r="J28" i="1"/>
  <c r="J15" i="1"/>
  <c r="J3" i="1"/>
  <c r="J63" i="1"/>
  <c r="J51" i="1"/>
  <c r="J37" i="1"/>
  <c r="J24" i="1"/>
  <c r="J12" i="1"/>
  <c r="J72" i="1"/>
  <c r="J35" i="1"/>
  <c r="J8" i="1"/>
  <c r="J71" i="1"/>
  <c r="J32" i="1"/>
  <c r="J7" i="1"/>
  <c r="J64" i="1"/>
  <c r="J39" i="1"/>
  <c r="J27" i="1"/>
  <c r="J61" i="1"/>
  <c r="J48" i="1"/>
  <c r="J36" i="1"/>
  <c r="J23" i="1"/>
  <c r="J11" i="1"/>
  <c r="J60" i="1"/>
  <c r="J47" i="1"/>
  <c r="J21" i="1"/>
  <c r="J59" i="1"/>
  <c r="J45" i="1"/>
  <c r="J20" i="1"/>
  <c r="J52" i="1"/>
  <c r="J13" i="1"/>
  <c r="J69" i="1"/>
  <c r="J56" i="1"/>
  <c r="J44" i="1"/>
  <c r="J31" i="1"/>
  <c r="J19" i="1"/>
  <c r="J5" i="1"/>
  <c r="J68" i="1"/>
  <c r="J55" i="1"/>
  <c r="J43" i="1"/>
  <c r="J29" i="1"/>
  <c r="J16" i="1"/>
  <c r="J4" i="1"/>
  <c r="G71" i="1"/>
  <c r="G57" i="1"/>
  <c r="G40" i="1"/>
  <c r="G26" i="1"/>
  <c r="G11" i="1"/>
  <c r="I9" i="1"/>
  <c r="I17" i="1"/>
  <c r="I25" i="1"/>
  <c r="I33" i="1"/>
  <c r="I41" i="1"/>
  <c r="I49" i="1"/>
  <c r="I57" i="1"/>
  <c r="I65" i="1"/>
  <c r="I2" i="1"/>
  <c r="I10" i="1"/>
  <c r="I18" i="1"/>
  <c r="I26" i="1"/>
  <c r="I34" i="1"/>
  <c r="I42" i="1"/>
  <c r="I50" i="1"/>
  <c r="I58" i="1"/>
  <c r="I66" i="1"/>
  <c r="I5" i="1"/>
  <c r="I13" i="1"/>
  <c r="I21" i="1"/>
  <c r="I29" i="1"/>
  <c r="I37" i="1"/>
  <c r="I45" i="1"/>
  <c r="I53" i="1"/>
  <c r="I61" i="1"/>
  <c r="I69" i="1"/>
  <c r="I14" i="1"/>
  <c r="I27" i="1"/>
  <c r="I39" i="1"/>
  <c r="I52" i="1"/>
  <c r="I64" i="1"/>
  <c r="I4" i="1"/>
  <c r="I16" i="1"/>
  <c r="I30" i="1"/>
  <c r="I43" i="1"/>
  <c r="I55" i="1"/>
  <c r="I68" i="1"/>
  <c r="I20" i="1"/>
  <c r="I46" i="1"/>
  <c r="I71" i="1"/>
  <c r="I22" i="1"/>
  <c r="I47" i="1"/>
  <c r="I72" i="1"/>
  <c r="I3" i="1"/>
  <c r="I28" i="1"/>
  <c r="I54" i="1"/>
  <c r="I6" i="1"/>
  <c r="I19" i="1"/>
  <c r="I31" i="1"/>
  <c r="I44" i="1"/>
  <c r="I56" i="1"/>
  <c r="I70" i="1"/>
  <c r="I7" i="1"/>
  <c r="I32" i="1"/>
  <c r="I59" i="1"/>
  <c r="I8" i="1"/>
  <c r="I35" i="1"/>
  <c r="I60" i="1"/>
  <c r="I15" i="1"/>
  <c r="I40" i="1"/>
  <c r="I67" i="1"/>
  <c r="I11" i="1"/>
  <c r="I23" i="1"/>
  <c r="I36" i="1"/>
  <c r="I48" i="1"/>
  <c r="I62" i="1"/>
  <c r="I12" i="1"/>
  <c r="I24" i="1"/>
  <c r="I38" i="1"/>
  <c r="I51" i="1"/>
  <c r="I63"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K17" i="8" s="1"/>
  <c r="B10" i="8"/>
  <c r="E10" i="8" s="1"/>
  <c r="B16" i="8"/>
  <c r="B15" i="8"/>
  <c r="I15" i="8" s="1"/>
  <c r="H5" i="1"/>
  <c r="H13" i="1"/>
  <c r="H27" i="1"/>
  <c r="H41" i="1"/>
  <c r="H55" i="1"/>
  <c r="H69" i="1"/>
  <c r="H58" i="1"/>
  <c r="H47" i="1"/>
  <c r="H39" i="1"/>
  <c r="H68" i="1"/>
  <c r="H14" i="1"/>
  <c r="H28" i="1"/>
  <c r="H42" i="1"/>
  <c r="H56" i="1"/>
  <c r="H70" i="1"/>
  <c r="H44" i="1"/>
  <c r="H72" i="1"/>
  <c r="H33" i="1"/>
  <c r="H11" i="1"/>
  <c r="H26" i="1"/>
  <c r="H15" i="1"/>
  <c r="H29" i="1"/>
  <c r="H43" i="1"/>
  <c r="H57" i="1"/>
  <c r="H71" i="1"/>
  <c r="H30" i="1"/>
  <c r="H60" i="1"/>
  <c r="H61" i="1"/>
  <c r="H25" i="1"/>
  <c r="H16" i="1"/>
  <c r="H2" i="1"/>
  <c r="H17" i="1"/>
  <c r="H31" i="1"/>
  <c r="H45" i="1"/>
  <c r="H59" i="1"/>
  <c r="H18" i="1"/>
  <c r="H32" i="1"/>
  <c r="H46" i="1"/>
  <c r="Z46" i="1" s="1"/>
  <c r="H19" i="1"/>
  <c r="H67" i="1"/>
  <c r="H40" i="1"/>
  <c r="H3" i="1"/>
  <c r="H4" i="1"/>
  <c r="H6" i="1"/>
  <c r="H20" i="1"/>
  <c r="H34" i="1"/>
  <c r="H48" i="1"/>
  <c r="H62" i="1"/>
  <c r="H63" i="1"/>
  <c r="H10" i="1"/>
  <c r="H66" i="1"/>
  <c r="H7" i="1"/>
  <c r="H21" i="1"/>
  <c r="H35" i="1"/>
  <c r="H49" i="1"/>
  <c r="H52" i="1"/>
  <c r="H12" i="1"/>
  <c r="H8" i="1"/>
  <c r="H22" i="1"/>
  <c r="H36" i="1"/>
  <c r="H50" i="1"/>
  <c r="H64" i="1"/>
  <c r="H23" i="1"/>
  <c r="H65" i="1"/>
  <c r="Z65" i="1" s="1"/>
  <c r="H24" i="1"/>
  <c r="H53" i="1"/>
  <c r="H54" i="1"/>
  <c r="H9" i="1"/>
  <c r="H37" i="1"/>
  <c r="H51" i="1"/>
  <c r="H38" i="1"/>
  <c r="B14" i="8"/>
  <c r="B13" i="8"/>
  <c r="I13" i="8" s="1"/>
  <c r="B3" i="8"/>
  <c r="C3" i="8" s="1"/>
  <c r="H12" i="8"/>
  <c r="B22" i="8"/>
  <c r="B2" i="8"/>
  <c r="B19" i="8"/>
  <c r="K6" i="8"/>
  <c r="J6" i="8"/>
  <c r="E12" i="8"/>
  <c r="I12" i="8"/>
  <c r="J12" i="8"/>
  <c r="B11" i="8"/>
  <c r="C11" i="8" s="1"/>
  <c r="K12" i="8"/>
  <c r="L12" i="8"/>
  <c r="B9" i="8"/>
  <c r="C9" i="8" s="1"/>
  <c r="B21" i="8"/>
  <c r="C21" i="8" s="1"/>
  <c r="B7" i="8"/>
  <c r="C7" i="8" s="1"/>
  <c r="B20" i="8"/>
  <c r="C20" i="8" s="1"/>
  <c r="F12" i="8"/>
  <c r="Z44" i="1" l="1"/>
  <c r="Z12" i="1"/>
  <c r="Z57" i="1"/>
  <c r="Z64" i="1"/>
  <c r="Z62" i="1"/>
  <c r="K26" i="8"/>
  <c r="Z50" i="1"/>
  <c r="Z52" i="1"/>
  <c r="I24" i="8"/>
  <c r="H6" i="8"/>
  <c r="F6" i="8"/>
  <c r="Z53" i="1"/>
  <c r="F36" i="8"/>
  <c r="K27" i="8"/>
  <c r="Z16" i="1"/>
  <c r="Z69" i="1"/>
  <c r="J26" i="8"/>
  <c r="Z51" i="1"/>
  <c r="H36" i="8"/>
  <c r="Z56" i="1"/>
  <c r="Z35" i="1"/>
  <c r="I26" i="8"/>
  <c r="Z25" i="1"/>
  <c r="Z15" i="1"/>
  <c r="F28" i="8"/>
  <c r="E35" i="8"/>
  <c r="Z63" i="1"/>
  <c r="Z31" i="1"/>
  <c r="Z39" i="1"/>
  <c r="I10" i="8"/>
  <c r="G6" i="8"/>
  <c r="Z17" i="1"/>
  <c r="Z47" i="1"/>
  <c r="L6" i="8"/>
  <c r="Z38" i="1"/>
  <c r="Z2" i="1"/>
  <c r="I35" i="8"/>
  <c r="J28" i="8"/>
  <c r="G24" i="8"/>
  <c r="Z34" i="1"/>
  <c r="Z29" i="1"/>
  <c r="K33" i="8"/>
  <c r="E32" i="8"/>
  <c r="G33" i="8"/>
  <c r="Z9" i="1"/>
  <c r="Z36" i="1"/>
  <c r="Z41" i="1"/>
  <c r="I32" i="8"/>
  <c r="E33" i="8"/>
  <c r="H32" i="8"/>
  <c r="I6" i="8"/>
  <c r="Z7" i="1"/>
  <c r="Z28" i="1"/>
  <c r="E6" i="8"/>
  <c r="Z66" i="1"/>
  <c r="Z60" i="1"/>
  <c r="E30" i="8"/>
  <c r="J24" i="8"/>
  <c r="K32" i="8"/>
  <c r="I28" i="8"/>
  <c r="Z5" i="1"/>
  <c r="J25" i="8"/>
  <c r="Z71" i="1"/>
  <c r="Z67" i="1"/>
  <c r="F25" i="8"/>
  <c r="E29" i="8"/>
  <c r="K29" i="8"/>
  <c r="C29" i="8"/>
  <c r="G29" i="8"/>
  <c r="F29" i="8"/>
  <c r="E34" i="8"/>
  <c r="C34" i="8"/>
  <c r="K34" i="8"/>
  <c r="L23" i="8"/>
  <c r="K31" i="8"/>
  <c r="J29" i="8"/>
  <c r="I17" i="8"/>
  <c r="H17" i="8"/>
  <c r="Z23" i="1"/>
  <c r="Z49" i="1"/>
  <c r="Z48" i="1"/>
  <c r="Z19" i="1"/>
  <c r="Z43" i="1"/>
  <c r="Z70" i="1"/>
  <c r="Z58" i="1"/>
  <c r="G37" i="8"/>
  <c r="C37" i="8"/>
  <c r="C33" i="8"/>
  <c r="I33" i="8"/>
  <c r="F34" i="8"/>
  <c r="F27" i="8"/>
  <c r="L27" i="8"/>
  <c r="L33" i="8"/>
  <c r="G36" i="8"/>
  <c r="G31" i="8"/>
  <c r="I37" i="8"/>
  <c r="L31" i="8"/>
  <c r="L15" i="8"/>
  <c r="Z37" i="1"/>
  <c r="Z21" i="1"/>
  <c r="Z32" i="1"/>
  <c r="Z42" i="1"/>
  <c r="Z55" i="1"/>
  <c r="J31" i="8"/>
  <c r="H35" i="8"/>
  <c r="C35" i="8"/>
  <c r="J30" i="8"/>
  <c r="I30" i="8"/>
  <c r="C30" i="8"/>
  <c r="I29" i="8"/>
  <c r="H30" i="8"/>
  <c r="G30" i="8"/>
  <c r="I31" i="8"/>
  <c r="E23" i="8"/>
  <c r="G23" i="8"/>
  <c r="J23" i="8"/>
  <c r="I23" i="8"/>
  <c r="C23" i="8"/>
  <c r="H23" i="8"/>
  <c r="Z20" i="1"/>
  <c r="Z6" i="1"/>
  <c r="Z18" i="1"/>
  <c r="Z61" i="1"/>
  <c r="Z26" i="1"/>
  <c r="E26" i="8"/>
  <c r="C26" i="8"/>
  <c r="F26" i="8"/>
  <c r="F24" i="8"/>
  <c r="J27" i="8"/>
  <c r="H28" i="8"/>
  <c r="L25" i="8"/>
  <c r="K28" i="8"/>
  <c r="G28" i="8"/>
  <c r="H29" i="8"/>
  <c r="E28" i="8"/>
  <c r="C31" i="8"/>
  <c r="F31" i="8"/>
  <c r="Z54" i="1"/>
  <c r="Z22" i="1"/>
  <c r="Z4" i="1"/>
  <c r="Z59" i="1"/>
  <c r="Z11" i="1"/>
  <c r="Z14" i="1"/>
  <c r="Z27" i="1"/>
  <c r="L32" i="8"/>
  <c r="C32" i="8"/>
  <c r="H25" i="8"/>
  <c r="C25" i="8"/>
  <c r="L34" i="8"/>
  <c r="L29" i="8"/>
  <c r="E36" i="8"/>
  <c r="F23" i="8"/>
  <c r="L26" i="8"/>
  <c r="H37" i="8"/>
  <c r="G34" i="8"/>
  <c r="G25" i="8"/>
  <c r="G27" i="8"/>
  <c r="E37" i="8"/>
  <c r="F32" i="8"/>
  <c r="G10" i="8"/>
  <c r="J10" i="8"/>
  <c r="Z8" i="1"/>
  <c r="Z10" i="1"/>
  <c r="Z3" i="1"/>
  <c r="Z45" i="1"/>
  <c r="Z30" i="1"/>
  <c r="Z33" i="1"/>
  <c r="Z68" i="1"/>
  <c r="Z13" i="1"/>
  <c r="H24" i="8"/>
  <c r="K24" i="8"/>
  <c r="C24" i="8"/>
  <c r="J35" i="8"/>
  <c r="F37" i="8"/>
  <c r="F35" i="8"/>
  <c r="H31" i="8"/>
  <c r="L28" i="8"/>
  <c r="K35" i="8"/>
  <c r="G35" i="8"/>
  <c r="G26" i="8"/>
  <c r="I34" i="8"/>
  <c r="I27" i="8"/>
  <c r="E25" i="8"/>
  <c r="H34" i="8"/>
  <c r="K30" i="8"/>
  <c r="Z24" i="1"/>
  <c r="Z40" i="1"/>
  <c r="Z72" i="1"/>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<sst xmlns="http://schemas.openxmlformats.org/spreadsheetml/2006/main" count="670" uniqueCount="347">
  <si>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</si>
  <si>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</si>
  <si>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</si>
  <si>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</si>
  <si>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</si>
  <si>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</si>
  <si>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</si>
  <si>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</si>
  <si>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</si>
  <si>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</si>
  <si>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</si>
  <si>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</si>
  <si>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</si>
  <si>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</si>
  <si>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</si>
  <si>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</si>
  <si>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</si>
  <si>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</si>
  <si>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</si>
  <si>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</si>
  <si>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</si>
  <si>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</si>
  <si>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</si>
  <si>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</si>
  <si>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</si>
  <si>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</si>
  <si>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</si>
  <si>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</si>
  <si>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</si>
  <si>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</si>
  <si>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</si>
  <si>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</si>
  <si>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</si>
  <si>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</si>
  <si>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</si>
  <si>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</si>
  <si>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</si>
  <si>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</si>
  <si>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</si>
  <si>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</si>
  <si>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</si>
  <si>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</si>
  <si>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</si>
  <si>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</si>
  <si>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</si>
  <si>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</si>
  <si>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</si>
  <si>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</si>
  <si>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</si>
  <si>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</si>
  <si>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</si>
  <si>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</si>
  <si>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</si>
  <si>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</si>
  <si>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</si>
  <si>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</si>
  <si>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</si>
  <si>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</si>
  <si>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</si>
  <si>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</si>
  <si>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</si>
  <si>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</si>
  <si>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</si>
  <si>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</si>
  <si>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</si>
  <si>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</si>
  <si>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</si>
  <si>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</si>
  <si>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</si>
  <si>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</si>
  <si>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</si>
  <si>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</si>
  <si>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</si>
  <si>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</si>
  <si>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</si>
  <si>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</si>
  <si>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</si>
  <si>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</si>
  <si>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</si>
  <si>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</si>
  <si>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</si>
  <si>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</si>
  <si>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</si>
  <si>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</si>
  <si>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</si>
  <si>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</si>
  <si>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</si>
  <si>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</si>
  <si>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</si>
  <si>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</si>
  <si>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</si>
  <si>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</si>
  <si>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</si>
  <si>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</si>
  <si>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</si>
  <si>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</si>
  <si>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</si>
  <si>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</si>
  <si>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</si>
  <si>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</si>
  <si>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</si>
  <si>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</si>
  <si>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</si>
  <si>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</si>
  <si>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</si>
  <si>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</si>
  <si>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</si>
  <si>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</si>
  <si>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</si>
  <si>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</si>
  <si>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</si>
  <si>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</si>
  <si>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</si>
  <si>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</si>
  <si>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</si>
  <si>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</si>
  <si>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</si>
  <si>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</si>
  <si>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</si>
  <si>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</si>
  <si>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</si>
  <si>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</si>
  <si>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</si>
  <si>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</si>
  <si>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</si>
  <si>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</si>
  <si>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</si>
  <si>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</si>
  <si>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</si>
  <si>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</si>
  <si>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</si>
  <si>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</si>
  <si>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</si>
  <si>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</si>
  <si>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</si>
  <si>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</si>
  <si>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</si>
  <si>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</si>
  <si>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</si>
  <si>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</si>
  <si>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</si>
  <si>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</si>
  <si>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</si>
  <si>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</si>
  <si>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</si>
  <si>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</si>
  <si>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</si>
  <si>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</si>
  <si>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</si>
  <si>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</si>
  <si>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</si>
  <si>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</si>
  <si>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</si>
  <si>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</si>
  <si>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</si>
  <si>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</si>
  <si>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</si>
  <si>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</si>
  <si>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</si>
  <si>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</si>
  <si>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</si>
  <si>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</si>
  <si>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</si>
  <si>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</si>
  <si>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</si>
  <si>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</si>
  <si>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</si>
  <si>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</si>
  <si>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</si>
  <si>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</si>
  <si>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</si>
  <si>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</si>
  <si>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</si>
  <si>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</si>
  <si>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</si>
  <si>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</si>
  <si>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</si>
  <si>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</si>
  <si>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</si>
  <si>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</si>
  <si>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</si>
  <si>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</si>
  <si>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</si>
  <si>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</si>
  <si>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</si>
  <si>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</si>
  <si>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</si>
  <si>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</si>
  <si>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</si>
  <si>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</si>
  <si>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</si>
  <si>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</si>
  <si>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</si>
  <si>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</si>
  <si>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</si>
  <si>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</si>
  <si>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</si>
  <si>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</si>
  <si>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</si>
  <si>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</si>
  <si>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</si>
  <si>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</si>
  <si>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</si>
  <si>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</si>
  <si>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</si>
  <si>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</si>
  <si>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</si>
  <si>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</si>
  <si>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</si>
  <si>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</si>
  <si>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</si>
  <si>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</si>
  <si>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</si>
  <si>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</si>
  <si>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</si>
  <si>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</si>
  <si>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</si>
  <si>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</si>
  <si>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</si>
  <si>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</si>
  <si>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</si>
  <si>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</si>
  <si>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</si>
  <si>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</si>
  <si>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</si>
  <si>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</si>
  <si>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</si>
  <si>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</si>
  <si>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</si>
  <si>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</si>
  <si>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</si>
  <si>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</si>
  <si>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</si>
  <si>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</si>
  <si>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</si>
  <si>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</si>
  <si>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</si>
  <si>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</si>
  <si>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</si>
  <si>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</si>
  <si>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</si>
  <si>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</si>
  <si>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</si>
  <si>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</si>
  <si>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</si>
  <si>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</si>
  <si>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</si>
  <si>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</si>
  <si>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</si>
  <si>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</si>
  <si>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</si>
  <si>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</si>
  <si>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</si>
  <si>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</si>
  <si>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</si>
  <si>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</si>
  <si>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</si>
  <si>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</si>
  <si>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</si>
  <si>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</si>
  <si>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</si>
  <si>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</si>
  <si>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</si>
  <si>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</si>
  <si>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</si>
  <si>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</si>
  <si>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</si>
  <si>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</si>
  <si>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</si>
  <si>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</si>
  <si>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</si>
  <si>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</si>
  <si>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</si>
  <si>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</si>
  <si>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</si>
  <si>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</si>
  <si>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</si>
  <si>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</si>
  <si>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</si>
  <si>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</si>
  <si>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</si>
  <si>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</si>
  <si>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</si>
  <si>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</si>
  <si>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</si>
  <si>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</si>
  <si>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</si>
  <si>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</si>
  <si>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</si>
  <si>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</si>
  <si>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</si>
  <si>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</si>
  <si>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</si>
  <si>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</si>
  <si>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</si>
  <si>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</si>
  <si>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</si>
  <si>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</si>
  <si>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</si>
  <si>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</si>
  <si>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</si>
  <si>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</si>
  <si>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</si>
  <si>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</si>
  <si>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</si>
  <si>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</si>
  <si>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</si>
  <si>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</si>
  <si>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</si>
  <si>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</si>
  <si>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</si>
  <si>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</si>
  <si>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</si>
  <si>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</si>
  <si>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</si>
  <si>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</si>
  <si>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</si>
  <si>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</si>
  <si>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</si>
  <si>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</si>
  <si>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</si>
  <si>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</si>
  <si>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</si>
  <si>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</si>
  <si>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</si>
  <si>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</si>
  <si>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</si>
  <si>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</si>
  <si>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</si>
  <si>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</si>
  <si>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</si>
  <si>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</si>
  <si>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</si>
  <si>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</si>
  <si>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</si>
  <si>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</si>
  <si>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</si>
  <si>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</si>
  <si>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</si>
  <si>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</si>
  <si>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</si>
  <si>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</si>
  <si>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</si>
  <si>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</si>
  <si>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</si>
  <si>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</si>
  <si>
    <t>Außenliegender Sonnenschutz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</si>
</sst>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7">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Standard" xfId="0" builtinId="0"/>
  </cellStyles>
  <dxfs count="80">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9"/>
      <tableStyleElement type="headerRow" dxfId="78"/>
      <tableStyleElement type="firstRowStripe" dxfId="77"/>
      <tableStyleElement type="secondRowStripe" dxfId="76"/>
    </tableStyle>
    <tableStyle name="Massnahmenkarten Texte-style" pivot="0" count="4" xr9:uid="{00000000-0011-0000-FFFF-FFFF01000000}">
      <tableStyleElement type="wholeTable" size="0" dxfId="75"/>
      <tableStyleElement type="headerRow" dxfId="74"/>
      <tableStyleElement type="firstRowStripe" dxfId="73"/>
      <tableStyleElement type="secondRowStripe" dxfId="72"/>
    </tableStyle>
    <tableStyle name="Mapping RealwerteSpielwerte-style" pivot="0" count="4" xr9:uid="{00000000-0011-0000-FFFF-FFFF02000000}">
      <tableStyleElement type="wholeTable" size="0" dxfId="71"/>
      <tableStyleElement type="headerRow" dxfId="70"/>
      <tableStyleElement type="firstRowStripe" dxfId="69"/>
      <tableStyleElement type="secondRowStripe" dxfId="68"/>
    </tableStyle>
    <tableStyle name="Board BaseValues-style" pivot="0" count="4" xr9:uid="{00000000-0011-0000-FFFF-FFFF03000000}">
      <tableStyleElement type="wholeTable" size="0" dxfId="67"/>
      <tableStyleElement type="headerRow" dxfId="66"/>
      <tableStyleElement type="firstRowStripe" dxfId="65"/>
      <tableStyleElement type="secondRowStripe" dxfId="64"/>
    </tableStyle>
    <tableStyle name="Board Heiztabelle SP-style" pivot="0" count="4" xr9:uid="{00000000-0011-0000-FFFF-FFFF04000000}">
      <tableStyleElement type="wholeTable" size="0" dxfId="63"/>
      <tableStyleElement type="headerRow" dxfId="62"/>
      <tableStyleElement type="firstRowStripe" dxfId="61"/>
      <tableStyleElement type="secondRowStripe" dxfId="60"/>
    </tableStyle>
    <tableStyle name="Board Heiztabelle Budget-style" pivot="0" count="4" xr9:uid="{00000000-0011-0000-FFFF-FFFF05000000}">
      <tableStyleElement type="wholeTable" size="0" dxfId="59"/>
      <tableStyleElement type="headerRow" dxfId="58"/>
      <tableStyleElement type="firstRowStripe" dxfId="57"/>
      <tableStyleElement type="secondRowStripe" dxfId="56"/>
    </tableStyle>
    <tableStyle name="Board WP Netzbezug-style" pivot="0" count="4" xr9:uid="{00000000-0011-0000-FFFF-FFFF06000000}">
      <tableStyleElement type="wholeTable" size="0" dxfId="55"/>
      <tableStyleElement type="headerRow" dxfId="54"/>
      <tableStyleElement type="firstRowStripe" dxfId="53"/>
      <tableStyleElement type="secondRowStripe" dxfId="52"/>
    </tableStyle>
    <tableStyle name="Netzbezug Impact-style" pivot="0" count="4" xr9:uid="{00000000-0011-0000-FFFF-FFFF07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
  <sortState xmlns:xlrd2="http://schemas.microsoft.com/office/spreadsheetml/2017/richdata2" ref="A2:Y100">
    <sortCondition ref="B1:B100"/>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7">
      <calculatedColumnFormula>Table1[[#This Row],[REAL Sofort CO2]]/kgemission_per_sp</calculatedColumnFormula>
    </tableColumn>
    <tableColumn id="8" xr3:uid="{00000000-0010-0000-0000-000008000000}" name="Strombedarf" dataDxfId="46">
      <calculatedColumnFormula>Table1[[#This Row],[REAL Strombedarf]]/real_zu_spiel_strombedarf</calculatedColumnFormula>
    </tableColumn>
    <tableColumn id="9" xr3:uid="{00000000-0010-0000-0000-000009000000}" name="Stromproduktion" dataDxfId="45">
      <calculatedColumnFormula>Table1[[#This Row],[REAL Stromproduktion]]/real_zu_spiel_stromproduktion</calculatedColumnFormula>
    </tableColumn>
    <tableColumn id="10" xr3:uid="{00000000-0010-0000-0000-00000A000000}" name="Stromspeicher" dataDxfId="44">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3"/>
    <tableColumn id="25" xr3:uid="{8B6CFA43-B9CB-4808-B66A-C728842AC947}" name="REAL Sofort CO2" dataDxfId="42"/>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41">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0">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calculatedColumnFormula>-Table6_2[[#This Row],[Gas Real]]*'Mapping RealwerteSpielwerte'!$C$23+heizkosten_baseline</calculatedColumnFormula>
    </tableColumn>
    <tableColumn id="3" xr3:uid="{00000000-0010-0000-0500-000003000000}" name="Biomasse" dataDxfId="22">
      <calculatedColumnFormula>-Table6_2[[#This Row],[Biomasse Real]]*'Mapping RealwerteSpielwerte'!$C$24+heizkosten_baseline</calculatedColumnFormula>
    </tableColumn>
    <tableColumn id="4" xr3:uid="{00000000-0010-0000-0500-000004000000}" name="Fernwärme" dataDxfId="21">
      <calculatedColumnFormula>-Table6_2[[#This Row],[Fernwärme Real]]*'Mapping RealwerteSpielwerte'!$C$25+heizkosten_baseline</calculatedColumnFormula>
    </tableColumn>
    <tableColumn id="5" xr3:uid="{00000000-0010-0000-0500-000005000000}" name="Grünes Gas" dataDxfId="20">
      <calculatedColumnFormula>-Table6_2[[#This Row],[Grünes Gas Real]]*'Mapping RealwerteSpielwerte'!$C$26+heizkosten_baseline</calculatedColumnFormula>
    </tableColumn>
    <tableColumn id="6" xr3:uid="{00000000-0010-0000-0500-000006000000}" name="Wärmepumpe" dataDxfId="19">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zoomScale="90" zoomScaleNormal="90" workbookViewId="0">
      <pane ySplit="1" topLeftCell="A6" activePane="bottomLeft" state="frozen"/>
      <selection pane="bottomLeft" activeCell="O11" sqref="O11"/>
    </sheetView>
  </sheetViews>
  <sheetFormatPr baseColWidth="10" defaultColWidth="12.54296875" defaultRowHeight="15.75" customHeight="1" x14ac:dyDescent="0.25"/>
  <cols>
    <col min="1" max="1" width="33.453125" customWidth="1"/>
    <col min="2" max="2" width="16" customWidth="1"/>
    <col min="3" max="7" width="6.81640625" customWidth="1"/>
    <col min="8" max="8" width="11.1796875" style="133" customWidth="1"/>
    <col min="9" max="14" width="6.81640625" customWidth="1"/>
    <col min="15" max="22" width="9.453125" customWidth="1"/>
    <col min="23" max="23" width="23.7265625" customWidth="1"/>
    <col min="24" max="24" width="19.81640625" customWidth="1"/>
    <col min="25" max="25" width="19.453125" customWidth="1"/>
  </cols>
  <sheetData>
    <row r="1" spans="1:27" ht="149.25" customHeight="1" x14ac:dyDescent="0.25">
      <c r="A1" s="1" t="s">
        <v>0</v>
      </c>
      <c r="B1" s="2" t="s">
        <v>1</v>
      </c>
      <c r="C1" s="3" t="s">
        <v>2</v>
      </c>
      <c r="D1" s="3" t="s">
        <v>3</v>
      </c>
      <c r="E1" s="4" t="s">
        <v>4</v>
      </c>
      <c r="F1" s="5" t="s">
        <v>5</v>
      </c>
      <c r="G1" s="5" t="s">
        <v>6</v>
      </c>
      <c r="H1" s="128" t="s">
        <v>7</v>
      </c>
      <c r="I1" s="7" t="s">
        <v>8</v>
      </c>
      <c r="J1" s="8" t="s">
        <v>9</v>
      </c>
      <c r="K1" s="9" t="s">
        <v>10</v>
      </c>
      <c r="L1" s="10" t="s">
        <v>11</v>
      </c>
      <c r="M1" s="11" t="s">
        <v>12</v>
      </c>
      <c r="N1" s="11" t="s">
        <v>13</v>
      </c>
      <c r="O1" s="4" t="s">
        <v>14</v>
      </c>
      <c r="P1" s="5" t="s">
        <v>15</v>
      </c>
      <c r="Q1" s="5" t="s">
        <v>307</v>
      </c>
      <c r="R1" s="6" t="s">
        <v>16</v>
      </c>
      <c r="S1" s="7" t="s">
        <v>17</v>
      </c>
      <c r="T1" s="8" t="s">
        <v>18</v>
      </c>
      <c r="U1" s="9" t="s">
        <v>19</v>
      </c>
      <c r="V1" s="10" t="s">
        <v>20</v>
      </c>
      <c r="W1" s="3" t="s">
        <v>21</v>
      </c>
      <c r="X1" s="3" t="s">
        <v>22</v>
      </c>
      <c r="Y1" s="3" t="s">
        <v>23</v>
      </c>
      <c r="Z1" t="s">
        <v>345</v>
      </c>
      <c r="AA1" t="s">
        <v>104</v>
      </c>
    </row>
    <row r="2" spans="1:27" ht="22.5" customHeight="1" x14ac:dyDescent="0.25">
      <c r="A2" s="12" t="s">
        <v>32</v>
      </c>
      <c r="B2" s="34" t="s">
        <v>33</v>
      </c>
      <c r="C2" s="14">
        <v>1</v>
      </c>
      <c r="D2" s="49"/>
      <c r="E2" s="15">
        <v>0</v>
      </c>
      <c r="F2" s="16"/>
      <c r="G2" s="17">
        <f>Table1[[#This Row],[REAL Sofort CO2]]/kgemission_per_sp</f>
        <v>0</v>
      </c>
      <c r="H2" s="129">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3"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5">
      <c r="A3" s="55" t="s">
        <v>48</v>
      </c>
      <c r="B3" s="34" t="s">
        <v>33</v>
      </c>
      <c r="C3" s="14">
        <v>1</v>
      </c>
      <c r="D3" s="45"/>
      <c r="E3" s="15">
        <v>1</v>
      </c>
      <c r="F3" s="36">
        <v>-4</v>
      </c>
      <c r="G3" s="37">
        <f>Table1[[#This Row],[REAL Sofort CO2]]/kgemission_per_sp</f>
        <v>0</v>
      </c>
      <c r="H3" s="130">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EMEMEMEMXXBM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5">
      <c r="A4" s="58" t="s">
        <v>52</v>
      </c>
      <c r="B4" s="34" t="s">
        <v>33</v>
      </c>
      <c r="C4" s="14">
        <v>1</v>
      </c>
      <c r="D4" s="42"/>
      <c r="E4" s="15">
        <v>3</v>
      </c>
      <c r="F4" s="16"/>
      <c r="G4" s="17">
        <f>Table1[[#This Row],[REAL Sofort CO2]]/kgemission_per_sp</f>
        <v>0</v>
      </c>
      <c r="H4" s="129">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4"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5">
      <c r="A5" s="33" t="s">
        <v>74</v>
      </c>
      <c r="B5" s="34" t="s">
        <v>33</v>
      </c>
      <c r="C5" s="14">
        <v>1</v>
      </c>
      <c r="D5" s="35"/>
      <c r="E5" s="15">
        <v>1</v>
      </c>
      <c r="F5" s="16"/>
      <c r="G5" s="17">
        <f>Table1[[#This Row],[REAL Sofort CO2]]/kgemission_per_sp</f>
        <v>0</v>
      </c>
      <c r="H5" s="130">
        <f>Table1[[#This Row],[REAL Strombedarf]]/real_zu_spiel_strombedarf</f>
        <v>-1</v>
      </c>
      <c r="I5" s="19">
        <f>Table1[[#This Row],[REAL Stromproduktion]]/real_zu_spiel_stromproduktion</f>
        <v>0</v>
      </c>
      <c r="J5" s="20">
        <f>Table1[[#This Row],[REAL Stromspeicher]]/real_zu_spiel_stromspeicher</f>
        <v>0</v>
      </c>
      <c r="K5" s="21"/>
      <c r="L5" s="39"/>
      <c r="M5" s="23"/>
      <c r="N5" s="24"/>
      <c r="O5" s="25"/>
      <c r="P5" s="16"/>
      <c r="Q5" s="17"/>
      <c r="R5" s="18">
        <v>-5</v>
      </c>
      <c r="S5" s="19"/>
      <c r="T5" s="20"/>
      <c r="U5" s="21"/>
      <c r="V5" s="39"/>
      <c r="W5" s="40"/>
      <c r="X5" s="40"/>
      <c r="Y5" s="40"/>
      <c r="Z5" t="str">
        <f t="shared" si="0"/>
        <v>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5">
      <c r="A6" s="12" t="s">
        <v>99</v>
      </c>
      <c r="B6" s="34" t="s">
        <v>33</v>
      </c>
      <c r="C6" s="14">
        <v>1</v>
      </c>
      <c r="D6" s="49"/>
      <c r="E6" s="15">
        <v>1</v>
      </c>
      <c r="F6" s="16"/>
      <c r="G6" s="17">
        <f>Table1[[#This Row],[REAL Sofort CO2]]/kgemission_per_sp</f>
        <v>0</v>
      </c>
      <c r="H6" s="130">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5">
      <c r="A7" s="33" t="s">
        <v>35</v>
      </c>
      <c r="B7" s="34" t="s">
        <v>36</v>
      </c>
      <c r="C7" s="14">
        <v>1</v>
      </c>
      <c r="D7" s="35"/>
      <c r="E7" s="15">
        <v>0</v>
      </c>
      <c r="F7" s="16"/>
      <c r="G7" s="17">
        <f>Table1[[#This Row],[REAL Sofort CO2]]/kgemission_per_sp</f>
        <v>0</v>
      </c>
      <c r="H7" s="130">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5">
      <c r="A8" s="12" t="s">
        <v>49</v>
      </c>
      <c r="B8" s="34" t="s">
        <v>36</v>
      </c>
      <c r="C8" s="14">
        <v>1</v>
      </c>
      <c r="D8" s="49"/>
      <c r="E8" s="15">
        <v>1</v>
      </c>
      <c r="F8" s="16"/>
      <c r="G8" s="17">
        <f>Table1[[#This Row],[REAL Sofort CO2]]/kgemission_per_sp</f>
        <v>0</v>
      </c>
      <c r="H8" s="130">
        <f>Table1[[#This Row],[REAL Strombedarf]]/real_zu_spiel_strombedarf</f>
        <v>-1</v>
      </c>
      <c r="I8" s="19">
        <f>Table1[[#This Row],[REAL Stromproduktion]]/real_zu_spiel_stromproduktion</f>
        <v>0</v>
      </c>
      <c r="J8" s="51">
        <f>Table1[[#This Row],[REAL Stromspeicher]]/real_zu_spiel_stromspeicher</f>
        <v>0</v>
      </c>
      <c r="K8" s="21"/>
      <c r="L8" s="39"/>
      <c r="M8" s="47"/>
      <c r="N8" s="48"/>
      <c r="O8" s="25"/>
      <c r="P8" s="16"/>
      <c r="Q8" s="17"/>
      <c r="R8" s="18">
        <v>-5</v>
      </c>
      <c r="S8" s="19"/>
      <c r="T8" s="51"/>
      <c r="U8" s="21"/>
      <c r="V8" s="39"/>
      <c r="W8" s="32" t="s">
        <v>3</v>
      </c>
      <c r="X8" s="12" t="s">
        <v>26</v>
      </c>
      <c r="Y8" s="52"/>
      <c r="Z8" t="str">
        <f t="shared" si="0"/>
        <v>BP</v>
      </c>
      <c r="AA8" t="str">
        <f>CHAR(34)&amp;VLOOKUP(Table1[[#This Row],[Name]],'Massnahmenkarten Texte'!A:C,3,FALSE)&amp;CHAR(34)</f>
        <v>"Effizienteste Haushaltsgeräte können den dStromverbrauch deutlich reduzieren"</v>
      </c>
    </row>
    <row r="9" spans="1:27" ht="22.5" customHeight="1" x14ac:dyDescent="0.25">
      <c r="A9" s="44" t="s">
        <v>61</v>
      </c>
      <c r="B9" s="34" t="s">
        <v>36</v>
      </c>
      <c r="C9" s="14">
        <v>1</v>
      </c>
      <c r="D9" s="45"/>
      <c r="E9" s="15">
        <v>0</v>
      </c>
      <c r="F9" s="16"/>
      <c r="G9" s="17">
        <f>Table1[[#This Row],[REAL Sofort CO2]]/kgemission_per_sp</f>
        <v>0</v>
      </c>
      <c r="H9" s="130">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5">
      <c r="A10" s="57" t="s">
        <v>65</v>
      </c>
      <c r="B10" s="34" t="s">
        <v>36</v>
      </c>
      <c r="C10" s="14">
        <v>1</v>
      </c>
      <c r="D10" s="42"/>
      <c r="E10" s="15">
        <v>2</v>
      </c>
      <c r="F10" s="16"/>
      <c r="G10" s="17">
        <f>Table1[[#This Row],[REAL Sofort CO2]]/kgemission_per_sp</f>
        <v>0</v>
      </c>
      <c r="H10" s="130">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t="s">
        <v>0</v>
      </c>
      <c r="X10" s="43"/>
      <c r="Y10" s="55" t="s">
        <v>73</v>
      </c>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5">
      <c r="A11" s="55" t="s">
        <v>73</v>
      </c>
      <c r="B11" s="34" t="s">
        <v>36</v>
      </c>
      <c r="C11" s="14">
        <v>1</v>
      </c>
      <c r="D11" s="35"/>
      <c r="E11" s="15">
        <v>1</v>
      </c>
      <c r="F11" s="16"/>
      <c r="G11" s="17">
        <f>Table1[[#This Row],[REAL Sofort CO2]]/kgemission_per_sp</f>
        <v>0</v>
      </c>
      <c r="H11" s="129">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57" t="s">
        <v>0</v>
      </c>
      <c r="X11" s="40"/>
      <c r="Y11" s="57" t="s">
        <v>65</v>
      </c>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5">
      <c r="A12" s="41" t="s">
        <v>93</v>
      </c>
      <c r="B12" s="34" t="s">
        <v>36</v>
      </c>
      <c r="C12" s="14">
        <v>1</v>
      </c>
      <c r="D12" s="42"/>
      <c r="E12" s="15">
        <v>0</v>
      </c>
      <c r="F12" s="16"/>
      <c r="G12" s="17">
        <f>Table1[[#This Row],[REAL Sofort CO2]]/kgemission_per_sp</f>
        <v>0</v>
      </c>
      <c r="H12" s="129">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c r="Z12" t="str">
        <f t="shared" si="0"/>
        <v>FLFLXXZM</v>
      </c>
      <c r="AA12"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3" spans="1:27" ht="22.5" customHeight="1" x14ac:dyDescent="0.25">
      <c r="A13" s="44" t="s">
        <v>30</v>
      </c>
      <c r="B13" s="34" t="s">
        <v>31</v>
      </c>
      <c r="C13" s="14">
        <v>1</v>
      </c>
      <c r="D13" s="45"/>
      <c r="E13" s="15">
        <v>1</v>
      </c>
      <c r="F13" s="36"/>
      <c r="G13" s="37">
        <f>Table1[[#This Row],[REAL Sofort CO2]]/kgemission_per_sp</f>
        <v>10</v>
      </c>
      <c r="H13" s="129">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c r="Z13" t="str">
        <f t="shared" si="0"/>
        <v>ZU</v>
      </c>
      <c r="AA13"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4" spans="1:27" ht="22.5" customHeight="1" x14ac:dyDescent="0.25">
      <c r="A14" s="41" t="s">
        <v>34</v>
      </c>
      <c r="B14" s="34" t="s">
        <v>31</v>
      </c>
      <c r="C14" s="14">
        <v>1</v>
      </c>
      <c r="D14" s="42"/>
      <c r="E14" s="15">
        <v>1</v>
      </c>
      <c r="F14" s="16"/>
      <c r="G14" s="17">
        <f>Table1[[#This Row],[REAL Sofort CO2]]/kgemission_per_sp</f>
        <v>0</v>
      </c>
      <c r="H14" s="129">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c r="Z14" t="str">
        <f t="shared" si="0"/>
        <v>ZU</v>
      </c>
      <c r="AA14"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5" spans="1:27" ht="22.5" customHeight="1" x14ac:dyDescent="0.25">
      <c r="A15" s="41" t="s">
        <v>37</v>
      </c>
      <c r="B15" s="34" t="s">
        <v>31</v>
      </c>
      <c r="C15" s="14">
        <v>1</v>
      </c>
      <c r="D15" s="45"/>
      <c r="E15" s="15">
        <v>1</v>
      </c>
      <c r="F15" s="16"/>
      <c r="G15" s="17">
        <f>Table1[[#This Row],[REAL Sofort CO2]]/kgemission_per_sp</f>
        <v>0</v>
      </c>
      <c r="H15" s="130">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c r="Z15" t="str">
        <f t="shared" si="0"/>
        <v>BMBMBMBMXXFLFLFLFLFLFLXXZU</v>
      </c>
      <c r="AA15"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6" spans="1:27" ht="22.5" customHeight="1" x14ac:dyDescent="0.25">
      <c r="A16" s="57" t="s">
        <v>51</v>
      </c>
      <c r="B16" s="34" t="s">
        <v>31</v>
      </c>
      <c r="C16" s="14">
        <v>1</v>
      </c>
      <c r="D16" s="49"/>
      <c r="E16" s="15">
        <v>2</v>
      </c>
      <c r="F16" s="36">
        <v>0</v>
      </c>
      <c r="G16" s="37">
        <f>Table1[[#This Row],[REAL Sofort CO2]]/kgemission_per_sp</f>
        <v>0</v>
      </c>
      <c r="H16" s="130">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3" t="s">
        <v>52</v>
      </c>
      <c r="Z16" t="str">
        <f t="shared" si="0"/>
        <v>ZU</v>
      </c>
      <c r="AA16"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17" spans="1:27" ht="22.5" customHeight="1" x14ac:dyDescent="0.25">
      <c r="A17" s="33" t="s">
        <v>71</v>
      </c>
      <c r="B17" s="34" t="s">
        <v>31</v>
      </c>
      <c r="C17" s="14">
        <v>1</v>
      </c>
      <c r="D17" s="35"/>
      <c r="E17" s="15">
        <v>2</v>
      </c>
      <c r="F17" s="36">
        <v>-1</v>
      </c>
      <c r="G17" s="37">
        <f>Table1[[#This Row],[REAL Sofort CO2]]/kgemission_per_sp</f>
        <v>0</v>
      </c>
      <c r="H17" s="130">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c r="Z17" t="str">
        <f t="shared" si="0"/>
        <v>EMXXWS</v>
      </c>
      <c r="AA17" t="str">
        <f>CHAR(34)&amp;VLOOKUP(Table1[[#This Row],[Name]],'Massnahmenkarten Texte'!A:C,3,FALSE)&amp;CHAR(34)</f>
        <v>"Substrat für grosse Pflanzen und Bäume. Bietet etwas Kohlenstoffspeicherung und Wärmeschutz, dafür aufwendiger in der Pflege."</v>
      </c>
    </row>
    <row r="18" spans="1:27" ht="22.5" customHeight="1" x14ac:dyDescent="0.25">
      <c r="A18" s="12" t="s">
        <v>75</v>
      </c>
      <c r="B18" s="34" t="s">
        <v>31</v>
      </c>
      <c r="C18" s="14">
        <v>1</v>
      </c>
      <c r="D18" s="49"/>
      <c r="E18" s="15">
        <v>2</v>
      </c>
      <c r="F18" s="36"/>
      <c r="G18" s="37">
        <f>Table1[[#This Row],[REAL Sofort CO2]]/kgemission_per_sp</f>
        <v>10</v>
      </c>
      <c r="H18" s="130">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c r="Z18" t="str">
        <f t="shared" si="0"/>
        <v>BMXXZUZU</v>
      </c>
      <c r="AA18"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19" spans="1:27" ht="22.5" customHeight="1" x14ac:dyDescent="0.25">
      <c r="A19" s="33" t="s">
        <v>346</v>
      </c>
      <c r="B19" s="34" t="s">
        <v>31</v>
      </c>
      <c r="C19" s="14">
        <v>1</v>
      </c>
      <c r="D19" s="35"/>
      <c r="E19" s="15">
        <v>1</v>
      </c>
      <c r="F19" s="16"/>
      <c r="G19" s="17">
        <f>Table1[[#This Row],[REAL Sofort CO2]]/kgemission_per_sp</f>
        <v>0</v>
      </c>
      <c r="H19" s="130">
        <f>Table1[[#This Row],[REAL Strombedarf]]/real_zu_spiel_strombedarf</f>
        <v>0</v>
      </c>
      <c r="I19" s="19">
        <f>Table1[[#This Row],[REAL Stromproduktion]]/real_zu_spiel_stromproduktion</f>
        <v>0</v>
      </c>
      <c r="J19" s="20">
        <f>Table1[[#This Row],[REAL Stromspeicher]]/real_zu_spiel_stromspeicher</f>
        <v>0</v>
      </c>
      <c r="K19" s="21"/>
      <c r="L19" s="22"/>
      <c r="M19" s="47">
        <v>1</v>
      </c>
      <c r="N19" s="48"/>
      <c r="O19" s="25"/>
      <c r="P19" s="16"/>
      <c r="Q19" s="17"/>
      <c r="R19" s="18"/>
      <c r="S19" s="19"/>
      <c r="T19" s="20"/>
      <c r="U19" s="21"/>
      <c r="V19" s="22">
        <v>1</v>
      </c>
      <c r="W19" s="32"/>
      <c r="X19" s="32"/>
      <c r="Y19" s="12"/>
      <c r="Z19" t="str">
        <f t="shared" si="0"/>
        <v>ZU</v>
      </c>
      <c r="AA19" t="str">
        <f>CHAR(34)&amp;VLOOKUP(Table1[[#This Row],[Name]],'Massnahmenkarten Texte'!A:C,3,FALSE)&amp;CHAR(34)</f>
        <v>"Reduziert die Sonneneinstrahlung und damit die nötige Kühlenergie im Sommer."</v>
      </c>
    </row>
    <row r="20" spans="1:27" ht="22.5" customHeight="1" x14ac:dyDescent="0.25">
      <c r="A20" s="41" t="s">
        <v>43</v>
      </c>
      <c r="B20" s="34" t="s">
        <v>44</v>
      </c>
      <c r="C20" s="14">
        <v>1</v>
      </c>
      <c r="D20" s="42"/>
      <c r="E20" s="15">
        <v>2</v>
      </c>
      <c r="F20" s="16"/>
      <c r="G20" s="17">
        <f>Table1[[#This Row],[REAL Sofort CO2]]/kgemission_per_sp</f>
        <v>0</v>
      </c>
      <c r="H20" s="130">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c r="Z20" t="str">
        <f t="shared" si="0"/>
        <v>EFEF</v>
      </c>
      <c r="AA20"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1" spans="1:27" ht="22.5" customHeight="1" x14ac:dyDescent="0.25">
      <c r="A21" s="33" t="s">
        <v>63</v>
      </c>
      <c r="B21" s="34" t="s">
        <v>44</v>
      </c>
      <c r="C21" s="14">
        <v>1</v>
      </c>
      <c r="D21" s="35"/>
      <c r="E21" s="15">
        <v>3</v>
      </c>
      <c r="F21" s="16"/>
      <c r="G21" s="17">
        <f>Table1[[#This Row],[REAL Sofort CO2]]/kgemission_per_sp</f>
        <v>0</v>
      </c>
      <c r="H21" s="130">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c r="Z21" t="str">
        <f t="shared" si="0"/>
        <v>EFEFXXZU</v>
      </c>
      <c r="AA21"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2" spans="1:27" ht="22.5" customHeight="1" x14ac:dyDescent="0.25">
      <c r="A22" s="12" t="s">
        <v>80</v>
      </c>
      <c r="B22" s="34" t="s">
        <v>44</v>
      </c>
      <c r="C22" s="14">
        <v>1</v>
      </c>
      <c r="D22" s="49"/>
      <c r="E22" s="15">
        <v>0</v>
      </c>
      <c r="F22" s="16"/>
      <c r="G22" s="17">
        <f>Table1[[#This Row],[REAL Sofort CO2]]/kgemission_per_sp</f>
        <v>0</v>
      </c>
      <c r="H22" s="130">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c r="Z22" t="str">
        <f t="shared" si="0"/>
        <v>EF</v>
      </c>
      <c r="AA22"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3" spans="1:27" ht="22.5" customHeight="1" x14ac:dyDescent="0.25">
      <c r="A23" s="44" t="s">
        <v>85</v>
      </c>
      <c r="B23" s="34" t="s">
        <v>44</v>
      </c>
      <c r="C23" s="14">
        <v>1</v>
      </c>
      <c r="D23" s="45"/>
      <c r="E23" s="15">
        <v>1</v>
      </c>
      <c r="F23" s="16"/>
      <c r="G23" s="17">
        <f>Table1[[#This Row],[REAL Sofort CO2]]/kgemission_per_sp</f>
        <v>0</v>
      </c>
      <c r="H23" s="130">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c r="Z23" t="str">
        <f t="shared" si="0"/>
        <v>EFEFXXZM</v>
      </c>
      <c r="AA23"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4" spans="1:27" ht="22.5" customHeight="1" x14ac:dyDescent="0.25">
      <c r="A24" s="41" t="s">
        <v>92</v>
      </c>
      <c r="B24" s="34" t="s">
        <v>44</v>
      </c>
      <c r="C24" s="14">
        <v>0</v>
      </c>
      <c r="D24" s="42"/>
      <c r="E24" s="15">
        <v>999</v>
      </c>
      <c r="F24" s="16"/>
      <c r="G24" s="17">
        <f>Table1[[#This Row],[REAL Sofort CO2]]/kgemission_per_sp</f>
        <v>0</v>
      </c>
      <c r="H24" s="130">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c r="Z24" t="str">
        <f t="shared" si="0"/>
        <v>BMXXFLXXWSXXEFXXZU</v>
      </c>
      <c r="AA24" t="str">
        <f>CHAR(34)&amp;VLOOKUP(Table1[[#This Row],[Name]],'Massnahmenkarten Texte'!A:C,3,FALSE)&amp;CHAR(34)</f>
        <v>"Eine Beschreibung hier einfügen, kurz halten oder sie wird abgeschnitten"</v>
      </c>
    </row>
    <row r="25" spans="1:27" ht="22.5" customHeight="1" x14ac:dyDescent="0.25">
      <c r="A25" s="60" t="s">
        <v>97</v>
      </c>
      <c r="B25" s="34" t="s">
        <v>44</v>
      </c>
      <c r="C25" s="14">
        <v>1</v>
      </c>
      <c r="D25" s="35"/>
      <c r="E25" s="15">
        <v>2</v>
      </c>
      <c r="F25" s="16"/>
      <c r="G25" s="17">
        <f>Table1[[#This Row],[REAL Sofort CO2]]/kgemission_per_sp</f>
        <v>0</v>
      </c>
      <c r="H25" s="130">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c r="Z25" t="str">
        <f t="shared" si="0"/>
        <v>EFEF</v>
      </c>
      <c r="AA25"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6" spans="1:27" ht="22.5" customHeight="1" x14ac:dyDescent="0.25">
      <c r="A26" s="60" t="s">
        <v>40</v>
      </c>
      <c r="B26" s="34" t="s">
        <v>41</v>
      </c>
      <c r="C26" s="14">
        <v>1</v>
      </c>
      <c r="D26" s="49"/>
      <c r="E26" s="15">
        <v>2</v>
      </c>
      <c r="F26" s="36">
        <v>-1</v>
      </c>
      <c r="G26" s="37">
        <f>Table1[[#This Row],[REAL Sofort CO2]]/kgemission_per_sp</f>
        <v>0</v>
      </c>
      <c r="H26" s="130">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c r="Z26" t="str">
        <f t="shared" si="0"/>
        <v>EMXXZU</v>
      </c>
      <c r="AA26" t="str">
        <f>CHAR(34)&amp;VLOOKUP(Table1[[#This Row],[Name]],'Massnahmenkarten Texte'!A:C,3,FALSE)&amp;CHAR(34)</f>
        <v>"Bepflanzte Grünflächen, die auf dem Dach eines Gebäudes angelegt wurden, um ökologische Vorteile und einen höheren Wohnkomfort zu bieten."</v>
      </c>
    </row>
    <row r="27" spans="1:27" ht="22.5" customHeight="1" x14ac:dyDescent="0.25">
      <c r="A27" s="60" t="s">
        <v>64</v>
      </c>
      <c r="B27" s="34" t="s">
        <v>41</v>
      </c>
      <c r="C27" s="14">
        <v>1</v>
      </c>
      <c r="D27" s="35"/>
      <c r="E27" s="15">
        <v>3</v>
      </c>
      <c r="F27" s="16"/>
      <c r="G27" s="17">
        <f>Table1[[#This Row],[REAL Sofort CO2]]/kgemission_per_sp</f>
        <v>0</v>
      </c>
      <c r="H27" s="129">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c r="Z27" t="str">
        <f t="shared" si="0"/>
        <v>SPSPSPSPSPSPSPSP</v>
      </c>
      <c r="AA27"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28" spans="1:27" ht="22.5" customHeight="1" x14ac:dyDescent="0.25">
      <c r="A28" s="62" t="s">
        <v>72</v>
      </c>
      <c r="B28" s="34" t="s">
        <v>41</v>
      </c>
      <c r="C28" s="14">
        <v>1</v>
      </c>
      <c r="D28" s="49"/>
      <c r="E28" s="15">
        <v>1</v>
      </c>
      <c r="F28" s="16"/>
      <c r="G28" s="17">
        <f>Table1[[#This Row],[REAL Sofort CO2]]/kgemission_per_sp</f>
        <v>0</v>
      </c>
      <c r="H28" s="129">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c r="Z28" t="str">
        <f t="shared" si="0"/>
        <v>SPSP</v>
      </c>
      <c r="AA28"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29" spans="1:27" ht="22.5" customHeight="1" x14ac:dyDescent="0.25">
      <c r="A29" s="33" t="s">
        <v>79</v>
      </c>
      <c r="B29" s="34" t="s">
        <v>41</v>
      </c>
      <c r="C29" s="14">
        <v>1</v>
      </c>
      <c r="D29" s="45"/>
      <c r="E29" s="15">
        <v>2</v>
      </c>
      <c r="F29" s="16"/>
      <c r="G29" s="17">
        <f>Table1[[#This Row],[REAL Sofort CO2]]/kgemission_per_sp</f>
        <v>0</v>
      </c>
      <c r="H29" s="129">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c r="Z29" t="str">
        <f t="shared" si="0"/>
        <v>SPSPSPSP</v>
      </c>
      <c r="AA29"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0" spans="1:27" ht="22.5" customHeight="1" x14ac:dyDescent="0.25">
      <c r="A30" s="60" t="s">
        <v>83</v>
      </c>
      <c r="B30" s="34" t="s">
        <v>41</v>
      </c>
      <c r="C30" s="14">
        <v>1</v>
      </c>
      <c r="D30" s="49"/>
      <c r="E30" s="15">
        <v>2</v>
      </c>
      <c r="F30" s="16"/>
      <c r="G30" s="17">
        <f>Table1[[#This Row],[REAL Sofort CO2]]/kgemission_per_sp</f>
        <v>0</v>
      </c>
      <c r="H30" s="129">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c r="Z30" t="str">
        <f t="shared" si="0"/>
        <v>SPSPSP</v>
      </c>
      <c r="AA30" t="str">
        <f>CHAR(34)&amp;VLOOKUP(Table1[[#This Row],[Name]],'Massnahmenkarten Texte'!A:C,3,FALSE)&amp;CHAR(34)</f>
        <v>"Lösung für denkmalgeschützte Dächer mit reduzierter Effizienz im Vergleich zu herkömmlichen Paneelen."</v>
      </c>
    </row>
    <row r="31" spans="1:27" ht="22.5" customHeight="1" x14ac:dyDescent="0.25">
      <c r="A31" s="44" t="s">
        <v>84</v>
      </c>
      <c r="B31" s="63" t="s">
        <v>41</v>
      </c>
      <c r="C31" s="14">
        <v>1</v>
      </c>
      <c r="D31" s="45"/>
      <c r="E31" s="15">
        <v>3</v>
      </c>
      <c r="F31" s="16"/>
      <c r="G31" s="17">
        <f>Table1[[#This Row],[REAL Sofort CO2]]/kgemission_per_sp</f>
        <v>0</v>
      </c>
      <c r="H31" s="129">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c r="Z31" t="str">
        <f t="shared" si="0"/>
        <v>SPSPXXZU</v>
      </c>
      <c r="AA31"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2" spans="1:27" ht="22.5" customHeight="1" x14ac:dyDescent="0.25">
      <c r="A32" s="41" t="s">
        <v>94</v>
      </c>
      <c r="B32" s="63" t="s">
        <v>41</v>
      </c>
      <c r="C32" s="14">
        <v>1</v>
      </c>
      <c r="D32" s="42"/>
      <c r="E32" s="15">
        <v>2</v>
      </c>
      <c r="F32" s="16"/>
      <c r="G32" s="17">
        <f>Table1[[#This Row],[REAL Sofort CO2]]/kgemission_per_sp</f>
        <v>0</v>
      </c>
      <c r="H32" s="130">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c r="Z32" t="str">
        <f t="shared" si="0"/>
        <v>WS</v>
      </c>
      <c r="AA32"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3" spans="1:27" ht="22.5" customHeight="1" x14ac:dyDescent="0.25">
      <c r="A33" s="33" t="s">
        <v>27</v>
      </c>
      <c r="B33" s="63" t="s">
        <v>28</v>
      </c>
      <c r="C33" s="14">
        <v>1</v>
      </c>
      <c r="D33" s="35"/>
      <c r="E33" s="15">
        <v>2</v>
      </c>
      <c r="F33" s="36"/>
      <c r="G33" s="37">
        <f>Table1[[#This Row],[REAL Sofort CO2]]/kgemission_per_sp</f>
        <v>30</v>
      </c>
      <c r="H33" s="130">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c r="Z33" t="str">
        <f t="shared" si="0"/>
        <v>WSWSWSWS</v>
      </c>
      <c r="AA33" t="str">
        <f>CHAR(34)&amp;VLOOKUP(Table1[[#This Row],[Name]],'Massnahmenkarten Texte'!A:C,3,FALSE)&amp;CHAR(34)</f>
        <v>"Die Gebäudehülle wird über den Mindeststandard hinaus verbessert. Dadurch sinkt der Heizwärmebedarf stärker, jedoch mit etwas höherem Material- und Investitionsaufwand."</v>
      </c>
    </row>
    <row r="34" spans="1:27" ht="22.5" customHeight="1" x14ac:dyDescent="0.25">
      <c r="A34" s="41" t="s">
        <v>29</v>
      </c>
      <c r="B34" s="63" t="s">
        <v>28</v>
      </c>
      <c r="C34" s="14">
        <v>1</v>
      </c>
      <c r="D34" s="42"/>
      <c r="E34" s="15">
        <v>3</v>
      </c>
      <c r="F34" s="36"/>
      <c r="G34" s="37">
        <f>Table1[[#This Row],[REAL Sofort CO2]]/kgemission_per_sp</f>
        <v>-10</v>
      </c>
      <c r="H34" s="130">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c r="Z34" t="str">
        <f t="shared" ref="Z34:Z65" si="1">_xlfn.TEXTJOIN(
"XX",
TRUE,
IF(OR(F34="",F34=0),"",REPT(IF(F34&gt;0,"EN","EM"),ABS(F34))),
IF(OR(H34="",H34=0),"",REPT(IF(H34&gt;0,"BM","BP"),ABS(H34))),
REPT("SP",I34),
REPT("FL",J34),
REPT("WS",K34),
REPT("EF",L34),
IF(OR(M34="",M34=0),"",REPT(IF(M34&gt;0,"ZU","ZM"),ABS(M34))),
IF(D34="FW","XXFW",IF(D34="BIO","XXBI",IF(D34="ABWWP","XXWP",IF(D34="WP","XXWP",IF(D34="GG","XXGG","")))))
)</f>
        <v>WSWSWSWS</v>
      </c>
      <c r="AA34" t="str">
        <f>CHAR(34)&amp;VLOOKUP(Table1[[#This Row],[Name]],'Massnahmenkarten Texte'!A:C,3,FALSE)&amp;CHAR(34)</f>
        <v>"Die Gebäudehülle wird über den Mindeststandard hinaus mit ökologischen Dämmstoffen verbessert. Dadurch sinkt der Heizwärmebedarf stärker."</v>
      </c>
    </row>
    <row r="35" spans="1:27" ht="22.5" customHeight="1" x14ac:dyDescent="0.25">
      <c r="A35" s="55" t="s">
        <v>42</v>
      </c>
      <c r="B35" s="63" t="s">
        <v>28</v>
      </c>
      <c r="C35" s="14">
        <v>0</v>
      </c>
      <c r="D35" s="35"/>
      <c r="E35" s="15">
        <v>999</v>
      </c>
      <c r="F35" s="16"/>
      <c r="G35" s="17">
        <f>Table1[[#This Row],[REAL Sofort CO2]]/kgemission_per_sp</f>
        <v>0</v>
      </c>
      <c r="H35" s="130">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c r="Z35" t="str">
        <f t="shared" si="1"/>
        <v>WS</v>
      </c>
      <c r="AA35" t="str">
        <f>CHAR(34)&amp;VLOOKUP(Table1[[#This Row],[Name]],'Massnahmenkarten Texte'!A:C,3,FALSE)&amp;CHAR(34)</f>
        <v>"zu speziell"</v>
      </c>
    </row>
    <row r="36" spans="1:27" ht="22.5" customHeight="1" x14ac:dyDescent="0.25">
      <c r="A36" s="12" t="s">
        <v>62</v>
      </c>
      <c r="B36" s="34" t="s">
        <v>28</v>
      </c>
      <c r="C36" s="14">
        <v>0</v>
      </c>
      <c r="D36" s="49"/>
      <c r="E36" s="15">
        <v>999</v>
      </c>
      <c r="F36" s="16"/>
      <c r="G36" s="17">
        <f>Table1[[#This Row],[REAL Sofort CO2]]/kgemission_per_sp</f>
        <v>0</v>
      </c>
      <c r="H36" s="130">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c r="Z36" t="str">
        <f t="shared" si="1"/>
        <v>WSWS</v>
      </c>
      <c r="AA36" t="str">
        <f>CHAR(34)&amp;VLOOKUP(Table1[[#This Row],[Name]],'Massnahmenkarten Texte'!A:C,3,FALSE)&amp;CHAR(34)</f>
        <v>"Mineralische oder synthetische Dämmstoffe. Hohe Umweltauswirkungen."</v>
      </c>
    </row>
    <row r="37" spans="1:27" ht="22.5" customHeight="1" x14ac:dyDescent="0.25">
      <c r="A37" s="44" t="s">
        <v>62</v>
      </c>
      <c r="B37" s="13" t="s">
        <v>28</v>
      </c>
      <c r="C37" s="14">
        <v>0</v>
      </c>
      <c r="D37" s="45"/>
      <c r="E37" s="15">
        <v>999</v>
      </c>
      <c r="F37" s="16"/>
      <c r="G37" s="17">
        <f>Table1[[#This Row],[REAL Sofort CO2]]/kgemission_per_sp</f>
        <v>0</v>
      </c>
      <c r="H37" s="130">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c r="Z37" t="str">
        <f t="shared" si="1"/>
        <v>WSWS</v>
      </c>
      <c r="AA37" t="str">
        <f>CHAR(34)&amp;VLOOKUP(Table1[[#This Row],[Name]],'Massnahmenkarten Texte'!A:C,3,FALSE)&amp;CHAR(34)</f>
        <v>"Mineralische oder synthetische Dämmstoffe. Hohe Umweltauswirkungen."</v>
      </c>
    </row>
    <row r="38" spans="1:27" ht="22.5" customHeight="1" x14ac:dyDescent="0.25">
      <c r="A38" s="41" t="s">
        <v>69</v>
      </c>
      <c r="B38" s="34" t="s">
        <v>28</v>
      </c>
      <c r="C38" s="14">
        <v>0</v>
      </c>
      <c r="D38" s="42"/>
      <c r="E38" s="15">
        <v>999</v>
      </c>
      <c r="F38" s="16"/>
      <c r="G38" s="17">
        <f>Table1[[#This Row],[REAL Sofort CO2]]/kgemission_per_sp</f>
        <v>0</v>
      </c>
      <c r="H38" s="130">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c r="Z38" t="str">
        <f t="shared" si="1"/>
        <v>WSWS</v>
      </c>
      <c r="AA38" t="str">
        <f>CHAR(34)&amp;VLOOKUP(Table1[[#This Row],[Name]],'Massnahmenkarten Texte'!A:C,3,FALSE)&amp;CHAR(34)</f>
        <v>"Natürlicher Dämmstoff. Geringe Umweltbelastung und recyclebar."</v>
      </c>
    </row>
    <row r="39" spans="1:27" ht="22.5" customHeight="1" x14ac:dyDescent="0.25">
      <c r="A39" s="33" t="s">
        <v>69</v>
      </c>
      <c r="B39" s="13" t="s">
        <v>28</v>
      </c>
      <c r="C39" s="14">
        <v>0</v>
      </c>
      <c r="D39" s="35"/>
      <c r="E39" s="15">
        <v>999</v>
      </c>
      <c r="F39" s="16"/>
      <c r="G39" s="17">
        <f>Table1[[#This Row],[REAL Sofort CO2]]/kgemission_per_sp</f>
        <v>0</v>
      </c>
      <c r="H39" s="130">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1"/>
        <v>WSWS</v>
      </c>
      <c r="AA39" t="str">
        <f>CHAR(34)&amp;VLOOKUP(Table1[[#This Row],[Name]],'Massnahmenkarten Texte'!A:C,3,FALSE)&amp;CHAR(34)</f>
        <v>"Natürlicher Dämmstoff. Geringe Umweltbelastung und recyclebar."</v>
      </c>
    </row>
    <row r="40" spans="1:27" ht="22.5" customHeight="1" x14ac:dyDescent="0.25">
      <c r="A40" s="112" t="s">
        <v>81</v>
      </c>
      <c r="B40" s="34" t="s">
        <v>28</v>
      </c>
      <c r="C40" s="14">
        <v>1</v>
      </c>
      <c r="D40" s="42"/>
      <c r="E40" s="15">
        <v>3</v>
      </c>
      <c r="F40" s="36"/>
      <c r="G40" s="37">
        <f>Table1[[#This Row],[REAL Sofort CO2]]/kgemission_per_sp</f>
        <v>40</v>
      </c>
      <c r="H40" s="130">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40</v>
      </c>
      <c r="R40" s="18">
        <v>0</v>
      </c>
      <c r="S40" s="19"/>
      <c r="T40" s="20"/>
      <c r="U40" s="38">
        <v>5</v>
      </c>
      <c r="V40" s="39"/>
      <c r="W40" s="43"/>
      <c r="X40" s="43"/>
      <c r="Y40" s="43"/>
      <c r="Z40" t="str">
        <f t="shared" si="1"/>
        <v>WSWSWSWSWS</v>
      </c>
      <c r="AA40" t="str">
        <f>CHAR(34)&amp;VLOOKUP(Table1[[#This Row],[Name]],'Massnahmenkarten Texte'!A:C,3,FALSE)&amp;CHAR(34)</f>
        <v>"Hochwertigster Wärmeschutz, luftdichte Gebäudehülle. Die verwendeten Baustoffe sind fossil und verursachen entsprechend höhere graue Energie."</v>
      </c>
    </row>
    <row r="41" spans="1:27" ht="22.5" customHeight="1" x14ac:dyDescent="0.25">
      <c r="A41" s="62" t="s">
        <v>82</v>
      </c>
      <c r="B41" s="34" t="s">
        <v>28</v>
      </c>
      <c r="C41" s="14">
        <v>1</v>
      </c>
      <c r="D41" s="35"/>
      <c r="E41" s="15">
        <v>4</v>
      </c>
      <c r="F41" s="36"/>
      <c r="G41" s="37">
        <v>-20</v>
      </c>
      <c r="H41" s="130">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c r="Z41" t="str">
        <f t="shared" si="1"/>
        <v>WSWSWSWSWS</v>
      </c>
      <c r="AA41" t="str">
        <f>CHAR(34)&amp;VLOOKUP(Table1[[#This Row],[Name]],'Massnahmenkarten Texte'!A:C,3,FALSE)&amp;CHAR(34)</f>
        <v>"Natürlicher Dämmstoff. Geringe Umweltbelastung und recyclebar."</v>
      </c>
    </row>
    <row r="42" spans="1:27" ht="22.5" customHeight="1" x14ac:dyDescent="0.25">
      <c r="A42" s="41" t="s">
        <v>86</v>
      </c>
      <c r="B42" s="34" t="s">
        <v>28</v>
      </c>
      <c r="C42" s="14">
        <v>0</v>
      </c>
      <c r="D42" s="42"/>
      <c r="E42" s="15">
        <v>999</v>
      </c>
      <c r="F42" s="16"/>
      <c r="G42" s="17">
        <f>Table1[[#This Row],[REAL Sofort CO2]]/kgemission_per_sp</f>
        <v>0</v>
      </c>
      <c r="H42" s="130">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c r="Z42" t="str">
        <f t="shared" si="1"/>
        <v/>
      </c>
      <c r="AA42" t="str">
        <f>CHAR(34)&amp;VLOOKUP(Table1[[#This Row],[Name]],'Massnahmenkarten Texte'!A:C,3,FALSE)&amp;CHAR(34)</f>
        <v>""</v>
      </c>
    </row>
    <row r="43" spans="1:27" ht="22.5" customHeight="1" x14ac:dyDescent="0.25">
      <c r="A43" s="68" t="s">
        <v>87</v>
      </c>
      <c r="B43" s="34" t="s">
        <v>28</v>
      </c>
      <c r="C43" s="14">
        <v>0</v>
      </c>
      <c r="D43" s="45"/>
      <c r="E43" s="15">
        <v>999</v>
      </c>
      <c r="F43" s="16"/>
      <c r="G43" s="17">
        <f>Table1[[#This Row],[REAL Sofort CO2]]/kgemission_per_sp</f>
        <v>0</v>
      </c>
      <c r="H43" s="130">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c r="Z43" t="str">
        <f t="shared" si="1"/>
        <v>WSWS</v>
      </c>
      <c r="AA43" t="str">
        <f>CHAR(34)&amp;VLOOKUP(Table1[[#This Row],[Name]],'Massnahmenkarten Texte'!A:C,3,FALSE)&amp;CHAR(34)</f>
        <v>"zu speziell"</v>
      </c>
    </row>
    <row r="44" spans="1:27" ht="22.5" customHeight="1" x14ac:dyDescent="0.25">
      <c r="A44" s="12" t="s">
        <v>88</v>
      </c>
      <c r="B44" s="34" t="s">
        <v>28</v>
      </c>
      <c r="C44" s="14">
        <v>0</v>
      </c>
      <c r="D44" s="49"/>
      <c r="E44" s="15">
        <v>999</v>
      </c>
      <c r="F44" s="16"/>
      <c r="G44" s="17">
        <f>Table1[[#This Row],[REAL Sofort CO2]]/kgemission_per_sp</f>
        <v>0</v>
      </c>
      <c r="H44" s="130">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c r="Z44" t="str">
        <f t="shared" si="1"/>
        <v>WSWS</v>
      </c>
      <c r="AA44" t="str">
        <f>CHAR(34)&amp;VLOOKUP(Table1[[#This Row],[Name]],'Massnahmenkarten Texte'!A:C,3,FALSE)&amp;CHAR(34)</f>
        <v>"Natürlicher Dämmstoff. Geringe Umweltbelastung und recyclebar."</v>
      </c>
    </row>
    <row r="45" spans="1:27" ht="22.5" customHeight="1" x14ac:dyDescent="0.25">
      <c r="A45" s="112" t="s">
        <v>88</v>
      </c>
      <c r="B45" s="13" t="s">
        <v>28</v>
      </c>
      <c r="C45" s="14">
        <v>0</v>
      </c>
      <c r="D45" s="45"/>
      <c r="E45" s="15">
        <v>999</v>
      </c>
      <c r="F45" s="16"/>
      <c r="G45" s="17">
        <f>Table1[[#This Row],[REAL Sofort CO2]]/kgemission_per_sp</f>
        <v>0</v>
      </c>
      <c r="H45" s="130">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c r="Z45" t="str">
        <f t="shared" si="1"/>
        <v>WSWS</v>
      </c>
      <c r="AA45" t="str">
        <f>CHAR(34)&amp;VLOOKUP(Table1[[#This Row],[Name]],'Massnahmenkarten Texte'!A:C,3,FALSE)&amp;CHAR(34)</f>
        <v>"Natürlicher Dämmstoff. Geringe Umweltbelastung und recyclebar."</v>
      </c>
    </row>
    <row r="46" spans="1:27" ht="22.5" customHeight="1" x14ac:dyDescent="0.25">
      <c r="A46" s="41" t="s">
        <v>89</v>
      </c>
      <c r="B46" s="34" t="s">
        <v>28</v>
      </c>
      <c r="C46" s="14">
        <v>1</v>
      </c>
      <c r="D46" s="42"/>
      <c r="E46" s="15">
        <v>1</v>
      </c>
      <c r="F46" s="36"/>
      <c r="G46" s="37">
        <f>Table1[[#This Row],[REAL Sofort CO2]]/kgemission_per_sp</f>
        <v>20</v>
      </c>
      <c r="H46" s="130">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c r="Z46" t="str">
        <f t="shared" si="1"/>
        <v>WSWSWS</v>
      </c>
      <c r="AA46" t="str">
        <f>CHAR(34)&amp;VLOOKUP(Table1[[#This Row],[Name]],'Massnahmenkarten Texte'!A:C,3,FALSE)&amp;CHAR(34)</f>
        <v>"Das Gebäude wird auf den gesetzlichen Mindestandard gebracht. Der Wärmeschutz verbessert sich, die eingesetzten Materialien sind fossil."</v>
      </c>
    </row>
    <row r="47" spans="1:27" ht="22.5" customHeight="1" x14ac:dyDescent="0.25">
      <c r="A47" s="33" t="s">
        <v>90</v>
      </c>
      <c r="B47" s="63" t="s">
        <v>28</v>
      </c>
      <c r="C47" s="14">
        <v>1</v>
      </c>
      <c r="D47" s="35"/>
      <c r="E47" s="15">
        <v>2</v>
      </c>
      <c r="F47" s="36"/>
      <c r="G47" s="37">
        <v>5</v>
      </c>
      <c r="H47" s="130">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c r="Z47" t="str">
        <f t="shared" si="1"/>
        <v>WSWSWS</v>
      </c>
      <c r="AA47" t="str">
        <f>CHAR(34)&amp;VLOOKUP(Table1[[#This Row],[Name]],'Massnahmenkarten Texte'!A:C,3,FALSE)&amp;CHAR(34)</f>
        <v>"Hochwertigster Wärmeschutz, luftdichte Gebäudehülle. Die verwendeten ökologischen Baustoffe reduzieren Emissionen."</v>
      </c>
    </row>
    <row r="48" spans="1:27" ht="22.5" customHeight="1" x14ac:dyDescent="0.25">
      <c r="A48" s="58" t="s">
        <v>95</v>
      </c>
      <c r="B48" s="63" t="s">
        <v>28</v>
      </c>
      <c r="C48" s="14">
        <v>0</v>
      </c>
      <c r="D48" s="42"/>
      <c r="E48" s="15">
        <v>999</v>
      </c>
      <c r="F48" s="16"/>
      <c r="G48" s="17">
        <f>Table1[[#This Row],[REAL Sofort CO2]]/kgemission_per_sp</f>
        <v>0</v>
      </c>
      <c r="H48" s="130">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c r="Z48" t="str">
        <f t="shared" si="1"/>
        <v>WS</v>
      </c>
      <c r="AA48" t="str">
        <f>CHAR(34)&amp;VLOOKUP(Table1[[#This Row],[Name]],'Massnahmenkarten Texte'!A:C,3,FALSE)&amp;CHAR(34)</f>
        <v>"Schließen Sie die Spalten zwischen Tür und Türrahmen, um Energieverluste durch Luftströme zu vermeiden."</v>
      </c>
    </row>
    <row r="49" spans="1:27" ht="22.5" customHeight="1" x14ac:dyDescent="0.25">
      <c r="A49" s="59" t="s">
        <v>96</v>
      </c>
      <c r="B49" s="63" t="s">
        <v>28</v>
      </c>
      <c r="C49" s="14">
        <v>0</v>
      </c>
      <c r="D49" s="35"/>
      <c r="E49" s="15">
        <v>999</v>
      </c>
      <c r="F49" s="16"/>
      <c r="G49" s="17">
        <f>Table1[[#This Row],[REAL Sofort CO2]]/kgemission_per_sp</f>
        <v>0</v>
      </c>
      <c r="H49" s="130">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c r="Z49" t="str">
        <f t="shared" si="1"/>
        <v>WS</v>
      </c>
      <c r="AA49" t="str">
        <f>CHAR(34)&amp;VLOOKUP(Table1[[#This Row],[Name]],'Massnahmenkarten Texte'!A:C,3,FALSE)&amp;CHAR(34)</f>
        <v>"Eine besser isolierte Tür reduziert die Transmissionsverluste."</v>
      </c>
    </row>
    <row r="50" spans="1:27" ht="22.5" customHeight="1" x14ac:dyDescent="0.25">
      <c r="A50" s="58" t="s">
        <v>98</v>
      </c>
      <c r="B50" s="63" t="s">
        <v>28</v>
      </c>
      <c r="C50" s="14">
        <v>0</v>
      </c>
      <c r="D50" s="49"/>
      <c r="E50" s="15">
        <v>999</v>
      </c>
      <c r="F50" s="16"/>
      <c r="G50" s="17">
        <f>Table1[[#This Row],[REAL Sofort CO2]]/kgemission_per_sp</f>
        <v>0</v>
      </c>
      <c r="H50" s="130">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c r="Z50" t="str">
        <f t="shared" si="1"/>
        <v>WSWS</v>
      </c>
      <c r="AA50" t="str">
        <f>CHAR(34)&amp;VLOOKUP(Table1[[#This Row],[Name]],'Massnahmenkarten Texte'!A:C,3,FALSE)&amp;CHAR(34)</f>
        <v>"zu speziell"</v>
      </c>
    </row>
    <row r="51" spans="1:27" ht="22.5" customHeight="1" x14ac:dyDescent="0.25">
      <c r="A51" s="61" t="s">
        <v>100</v>
      </c>
      <c r="B51" s="63" t="s">
        <v>28</v>
      </c>
      <c r="C51" s="14">
        <v>0</v>
      </c>
      <c r="D51" s="45"/>
      <c r="E51" s="15">
        <v>999</v>
      </c>
      <c r="F51" s="16"/>
      <c r="G51" s="17">
        <f>Table1[[#This Row],[REAL Sofort CO2]]/kgemission_per_sp</f>
        <v>0</v>
      </c>
      <c r="H51" s="130">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c r="Z51" t="str">
        <f t="shared" si="1"/>
        <v>WSWS</v>
      </c>
      <c r="AA51" t="str">
        <f>CHAR(34)&amp;VLOOKUP(Table1[[#This Row],[Name]],'Massnahmenkarten Texte'!A:C,3,FALSE)&amp;CHAR(34)</f>
        <v>"Natürlicher Dämmstoff. Geringe Umweltbelastung und recyclebar."</v>
      </c>
    </row>
    <row r="52" spans="1:27" ht="22.5" customHeight="1" x14ac:dyDescent="0.25">
      <c r="A52" s="12" t="s">
        <v>100</v>
      </c>
      <c r="B52" s="64" t="s">
        <v>28</v>
      </c>
      <c r="C52" s="14">
        <v>0</v>
      </c>
      <c r="D52" s="49"/>
      <c r="E52" s="15">
        <v>999</v>
      </c>
      <c r="F52" s="16"/>
      <c r="G52" s="17">
        <f>Table1[[#This Row],[REAL Sofort CO2]]/kgemission_per_sp</f>
        <v>0</v>
      </c>
      <c r="H52" s="130">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c r="Z52" t="str">
        <f t="shared" si="1"/>
        <v>WSWS</v>
      </c>
      <c r="AA52" t="str">
        <f>CHAR(34)&amp;VLOOKUP(Table1[[#This Row],[Name]],'Massnahmenkarten Texte'!A:C,3,FALSE)&amp;CHAR(34)</f>
        <v>"Natürlicher Dämmstoff. Geringe Umweltbelastung und recyclebar."</v>
      </c>
    </row>
    <row r="53" spans="1:27" ht="22.5" customHeight="1" x14ac:dyDescent="0.25">
      <c r="A53" s="44" t="s">
        <v>54</v>
      </c>
      <c r="B53" s="64" t="s">
        <v>55</v>
      </c>
      <c r="C53" s="14">
        <v>1</v>
      </c>
      <c r="D53" s="45"/>
      <c r="E53" s="15">
        <v>2</v>
      </c>
      <c r="F53" s="16"/>
      <c r="G53" s="17">
        <f>Table1[[#This Row],[REAL Sofort CO2]]/kgemission_per_sp</f>
        <v>10</v>
      </c>
      <c r="H53" s="130">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c r="Z53" t="str">
        <f t="shared" si="1"/>
        <v>WS</v>
      </c>
      <c r="AA53" t="str">
        <f>CHAR(34)&amp;VLOOKUP(Table1[[#This Row],[Name]],'Massnahmenkarten Texte'!A:C,3,FALSE)&amp;CHAR(34)</f>
        <v>"Holz-Alu-Fenster verbessern den Wärmeschutz, sind aber hochwertiger und langlebiger als Plastikfenster. Sie kosten auch mehr."</v>
      </c>
    </row>
    <row r="54" spans="1:27" ht="22.5" customHeight="1" x14ac:dyDescent="0.25">
      <c r="A54" s="12" t="s">
        <v>56</v>
      </c>
      <c r="B54" s="64" t="s">
        <v>55</v>
      </c>
      <c r="C54" s="14">
        <v>1</v>
      </c>
      <c r="D54" s="49"/>
      <c r="E54" s="15">
        <v>2</v>
      </c>
      <c r="F54" s="36"/>
      <c r="G54" s="37">
        <f>Table1[[#This Row],[REAL Sofort CO2]]/kgemission_per_sp</f>
        <v>20</v>
      </c>
      <c r="H54" s="130">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c r="Z54" t="str">
        <f t="shared" si="1"/>
        <v>WSWS</v>
      </c>
      <c r="AA54"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5" spans="1:27" ht="22.5" customHeight="1" x14ac:dyDescent="0.25">
      <c r="A55" s="61" t="s">
        <v>57</v>
      </c>
      <c r="B55" s="64" t="s">
        <v>55</v>
      </c>
      <c r="C55" s="14">
        <v>1</v>
      </c>
      <c r="D55" s="45"/>
      <c r="E55" s="15">
        <v>3</v>
      </c>
      <c r="F55" s="16"/>
      <c r="G55" s="17">
        <f>Table1[[#This Row],[REAL Sofort CO2]]/kgemission_per_sp</f>
        <v>10</v>
      </c>
      <c r="H55" s="130">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c r="Z55" t="str">
        <f t="shared" si="1"/>
        <v>WSWS</v>
      </c>
      <c r="AA55"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6" spans="1:27" ht="22.5" customHeight="1" x14ac:dyDescent="0.25">
      <c r="A56" s="60" t="s">
        <v>58</v>
      </c>
      <c r="B56" s="64" t="s">
        <v>55</v>
      </c>
      <c r="C56" s="14">
        <v>1</v>
      </c>
      <c r="D56" s="49"/>
      <c r="E56" s="15">
        <v>1</v>
      </c>
      <c r="F56" s="36"/>
      <c r="G56" s="37">
        <f>Table1[[#This Row],[REAL Sofort CO2]]/kgemission_per_sp</f>
        <v>30</v>
      </c>
      <c r="H56" s="130">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c r="Z56" t="str">
        <f t="shared" si="1"/>
        <v>WS</v>
      </c>
      <c r="AA56"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57" spans="1:27" ht="22.5" customHeight="1" x14ac:dyDescent="0.25">
      <c r="A57" s="44" t="s">
        <v>91</v>
      </c>
      <c r="B57" s="64" t="s">
        <v>55</v>
      </c>
      <c r="C57" s="14">
        <v>1</v>
      </c>
      <c r="D57" s="45"/>
      <c r="E57" s="15">
        <v>1</v>
      </c>
      <c r="F57" s="16"/>
      <c r="G57" s="17">
        <f>Table1[[#This Row],[REAL Sofort CO2]]/kgemission_per_sp</f>
        <v>0</v>
      </c>
      <c r="H57" s="130">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c r="Z57" t="str">
        <f t="shared" si="1"/>
        <v>WS</v>
      </c>
      <c r="AA57"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58" spans="1:27" ht="22.5" customHeight="1" x14ac:dyDescent="0.25">
      <c r="A58" s="12" t="s">
        <v>45</v>
      </c>
      <c r="B58" s="64" t="s">
        <v>46</v>
      </c>
      <c r="C58" s="14">
        <v>1</v>
      </c>
      <c r="D58" s="49"/>
      <c r="E58" s="15">
        <v>1</v>
      </c>
      <c r="F58" s="16"/>
      <c r="G58" s="17">
        <f>Table1[[#This Row],[REAL Sofort CO2]]/kgemission_per_sp</f>
        <v>0</v>
      </c>
      <c r="H58" s="130">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c r="Z58" t="str">
        <f t="shared" si="1"/>
        <v>WS</v>
      </c>
      <c r="AA58"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59" spans="1:27" ht="22.5" customHeight="1" x14ac:dyDescent="0.25">
      <c r="A59" s="59" t="s">
        <v>53</v>
      </c>
      <c r="B59" s="64" t="s">
        <v>46</v>
      </c>
      <c r="C59" s="14">
        <v>0</v>
      </c>
      <c r="D59" s="35"/>
      <c r="E59" s="15">
        <v>999</v>
      </c>
      <c r="F59" s="16"/>
      <c r="G59" s="17">
        <f>Table1[[#This Row],[REAL Sofort CO2]]/kgemission_per_sp</f>
        <v>0</v>
      </c>
      <c r="H59" s="130">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c r="Z59" t="str">
        <f t="shared" si="1"/>
        <v>WS</v>
      </c>
      <c r="AA59" t="str">
        <f>CHAR(34)&amp;VLOOKUP(Table1[[#This Row],[Name]],'Massnahmenkarten Texte'!A:C,3,FALSE)&amp;CHAR(34)</f>
        <v>"Durch das Anbringen von Lüftungsöffnungen an den Fenstern wird eine ausreichende Luftzirkulation gewährleistet, damit sich kein Schimmel bilden kann."</v>
      </c>
    </row>
    <row r="60" spans="1:27" ht="22.5" customHeight="1" x14ac:dyDescent="0.25">
      <c r="A60" s="58" t="s">
        <v>76</v>
      </c>
      <c r="B60" s="64" t="s">
        <v>46</v>
      </c>
      <c r="C60" s="14">
        <v>0</v>
      </c>
      <c r="D60" s="42"/>
      <c r="E60" s="15">
        <v>999</v>
      </c>
      <c r="F60" s="16"/>
      <c r="G60" s="17">
        <f>Table1[[#This Row],[REAL Sofort CO2]]/kgemission_per_sp</f>
        <v>0</v>
      </c>
      <c r="H60" s="130">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1"/>
        <v>WS</v>
      </c>
      <c r="AA60" t="str">
        <f>CHAR(34)&amp;VLOOKUP(Table1[[#This Row],[Name]],'Massnahmenkarten Texte'!A:C,3,FALSE)&amp;CHAR(34)</f>
        <v>"Lüftungslösungen, die im Boden, an der Decke oder in der Brüstung (zwischen Boden und Fenster, wie ein Heizkörper) installiert werden können."</v>
      </c>
    </row>
    <row r="61" spans="1:27" ht="22.5" customHeight="1" x14ac:dyDescent="0.25">
      <c r="A61" s="33" t="s">
        <v>77</v>
      </c>
      <c r="B61" s="64" t="s">
        <v>46</v>
      </c>
      <c r="C61" s="14">
        <v>1</v>
      </c>
      <c r="D61" s="35"/>
      <c r="E61" s="15">
        <v>3</v>
      </c>
      <c r="F61" s="16"/>
      <c r="G61" s="17">
        <f>Table1[[#This Row],[REAL Sofort CO2]]/kgemission_per_sp</f>
        <v>10</v>
      </c>
      <c r="H61" s="130">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c r="Z61" t="str">
        <f t="shared" si="1"/>
        <v>BMXXWSWSXXZU</v>
      </c>
      <c r="AA61"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2" spans="1:27" ht="22.5" customHeight="1" x14ac:dyDescent="0.25">
      <c r="A62" s="58" t="s">
        <v>78</v>
      </c>
      <c r="B62" s="64" t="s">
        <v>46</v>
      </c>
      <c r="C62" s="14">
        <v>1</v>
      </c>
      <c r="D62" s="42"/>
      <c r="E62" s="15">
        <v>1</v>
      </c>
      <c r="F62" s="16"/>
      <c r="G62" s="17">
        <f>Table1[[#This Row],[REAL Sofort CO2]]/kgemission_per_sp</f>
        <v>0</v>
      </c>
      <c r="H62" s="130">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c r="Z62" t="str">
        <f t="shared" si="1"/>
        <v>ZU</v>
      </c>
      <c r="AA62"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3" spans="1:27" ht="22.5" customHeight="1" x14ac:dyDescent="0.25">
      <c r="A63" s="44" t="s">
        <v>101</v>
      </c>
      <c r="B63" s="64" t="s">
        <v>46</v>
      </c>
      <c r="C63" s="14">
        <v>1</v>
      </c>
      <c r="D63" s="45"/>
      <c r="E63" s="15">
        <v>2</v>
      </c>
      <c r="F63" s="16"/>
      <c r="G63" s="17">
        <f>Table1[[#This Row],[REAL Sofort CO2]]/kgemission_per_sp</f>
        <v>5</v>
      </c>
      <c r="H63" s="130">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c r="Z63" t="str">
        <f t="shared" si="1"/>
        <v>BMXXWSXXZU</v>
      </c>
      <c r="AA63"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4" spans="1:27" ht="22.5" customHeight="1" x14ac:dyDescent="0.25">
      <c r="A64" s="12" t="s">
        <v>24</v>
      </c>
      <c r="B64" s="64" t="s">
        <v>25</v>
      </c>
      <c r="C64" s="14">
        <v>1</v>
      </c>
      <c r="D64" s="14" t="s">
        <v>26</v>
      </c>
      <c r="E64" s="15">
        <v>3</v>
      </c>
      <c r="F64" s="16"/>
      <c r="G64" s="17">
        <f>Table1[[#This Row],[REAL Sofort CO2]]/kgemission_per_sp</f>
        <v>0</v>
      </c>
      <c r="H64" s="130">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c r="R64" s="18">
        <v>0</v>
      </c>
      <c r="S64" s="19"/>
      <c r="T64" s="20"/>
      <c r="U64" s="21"/>
      <c r="V64" s="22">
        <v>2</v>
      </c>
      <c r="W64" s="32"/>
      <c r="X64" s="32"/>
      <c r="Y64" s="32"/>
      <c r="Z64" t="str">
        <f t="shared" si="1"/>
        <v>EFEFXXXXWP</v>
      </c>
      <c r="AA64"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5" spans="1:27" ht="22.5" customHeight="1" x14ac:dyDescent="0.25">
      <c r="A65" s="44" t="s">
        <v>38</v>
      </c>
      <c r="B65" s="64" t="s">
        <v>25</v>
      </c>
      <c r="C65" s="14">
        <v>1</v>
      </c>
      <c r="D65" s="53" t="s">
        <v>39</v>
      </c>
      <c r="E65" s="15">
        <v>1</v>
      </c>
      <c r="F65" s="16"/>
      <c r="G65" s="17">
        <f>Table1[[#This Row],[REAL Sofort CO2]]/kgemission_per_sp</f>
        <v>0</v>
      </c>
      <c r="H65" s="130">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c r="Z65" t="str">
        <f t="shared" si="1"/>
        <v>ZMXXXXBI</v>
      </c>
      <c r="AA65"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6" spans="1:27" ht="22.5" customHeight="1" x14ac:dyDescent="0.25">
      <c r="A66" s="112" t="s">
        <v>47</v>
      </c>
      <c r="B66" s="13" t="s">
        <v>25</v>
      </c>
      <c r="C66" s="14">
        <v>1</v>
      </c>
      <c r="D66" s="56" t="s">
        <v>26</v>
      </c>
      <c r="E66" s="15">
        <v>1</v>
      </c>
      <c r="F66" s="16"/>
      <c r="G66" s="17">
        <f>Table1[[#This Row],[REAL Sofort CO2]]/kgemission_per_sp</f>
        <v>0</v>
      </c>
      <c r="H66" s="130">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c r="Z66" t="str">
        <f t="shared" ref="Z66:Z72" si="2">_xlfn.TEXTJOIN(
"XX",
TRUE,
IF(OR(F66="",F66=0),"",REPT(IF(F66&gt;0,"EN","EM"),ABS(F66))),
IF(OR(H66="",H66=0),"",REPT(IF(H66&gt;0,"BM","BP"),ABS(H66))),
REPT("SP",I66),
REPT("FL",J66),
REPT("WS",K66),
REPT("EF",L66),
IF(OR(M66="",M66=0),"",REPT(IF(M66&gt;0,"ZU","ZM"),ABS(M66))),
IF(D66="FW","XXFW",IF(D66="BIO","XXBI",IF(D66="ABWWP","XXWP",IF(D66="WP","XXWP",IF(D66="GG","XXGG","")))))
)</f>
        <v>EFXXZMXXXXWP</v>
      </c>
      <c r="AA66"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67" spans="1:27" ht="22.5" customHeight="1" x14ac:dyDescent="0.25">
      <c r="A67" s="44" t="s">
        <v>50</v>
      </c>
      <c r="B67" s="13" t="s">
        <v>25</v>
      </c>
      <c r="C67" s="14">
        <v>1</v>
      </c>
      <c r="D67" s="53" t="s">
        <v>26</v>
      </c>
      <c r="E67" s="15">
        <v>2</v>
      </c>
      <c r="F67" s="36"/>
      <c r="G67" s="37">
        <f>Table1[[#This Row],[REAL Sofort CO2]]/kgemission_per_sp</f>
        <v>10</v>
      </c>
      <c r="H67" s="130">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c r="Z67" t="str">
        <f t="shared" si="2"/>
        <v>EFEFXXXXWP</v>
      </c>
      <c r="AA67"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68" spans="1:27" ht="22.5" customHeight="1" x14ac:dyDescent="0.25">
      <c r="A68" s="12" t="s">
        <v>59</v>
      </c>
      <c r="B68" s="13" t="s">
        <v>25</v>
      </c>
      <c r="C68" s="14">
        <v>1</v>
      </c>
      <c r="D68" s="14" t="s">
        <v>60</v>
      </c>
      <c r="E68" s="15">
        <v>1</v>
      </c>
      <c r="F68" s="16"/>
      <c r="G68" s="17">
        <f>Table1[[#This Row],[REAL Sofort CO2]]/kgemission_per_sp</f>
        <v>0</v>
      </c>
      <c r="H68" s="130">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c r="Z68" t="str">
        <f t="shared" si="2"/>
        <v>XXFW</v>
      </c>
      <c r="AA68" t="str">
        <f>CHAR(34)&amp;VLOOKUP(Table1[[#This Row],[Name]],'Massnahmenkarten Texte'!A:C,3,FALSE)&amp;CHAR(34)</f>
        <v>"Fernwärme ist einfach und im Allgemeinen umweltverträglich, kann aber teurer sein als andere Lösungen."</v>
      </c>
    </row>
    <row r="69" spans="1:27" ht="22.5" customHeight="1" x14ac:dyDescent="0.25">
      <c r="A69" s="33" t="s">
        <v>66</v>
      </c>
      <c r="B69" s="13" t="s">
        <v>25</v>
      </c>
      <c r="C69" s="14">
        <v>1</v>
      </c>
      <c r="D69" s="65" t="s">
        <v>26</v>
      </c>
      <c r="E69" s="15">
        <v>2</v>
      </c>
      <c r="F69" s="16"/>
      <c r="G69" s="17">
        <f>Table1[[#This Row],[REAL Sofort CO2]]/kgemission_per_sp</f>
        <v>0</v>
      </c>
      <c r="H69" s="130">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c r="Z69" t="str">
        <f t="shared" si="2"/>
        <v>EFEFXXXXWP</v>
      </c>
      <c r="AA69"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0" spans="1:27" ht="22.5" customHeight="1" x14ac:dyDescent="0.25">
      <c r="A70" s="12" t="s">
        <v>67</v>
      </c>
      <c r="B70" s="13" t="s">
        <v>25</v>
      </c>
      <c r="C70" s="14">
        <v>1</v>
      </c>
      <c r="D70" s="14" t="s">
        <v>68</v>
      </c>
      <c r="E70" s="66">
        <v>2</v>
      </c>
      <c r="F70" s="16"/>
      <c r="G70" s="17">
        <f>Table1[[#This Row],[REAL Sofort CO2]]/kgemission_per_sp</f>
        <v>0</v>
      </c>
      <c r="H70" s="130">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c r="Z70" t="str">
        <f t="shared" si="2"/>
        <v>XXGG</v>
      </c>
      <c r="AA70"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1" spans="1:27" ht="22.5" customHeight="1" x14ac:dyDescent="0.25">
      <c r="A71" s="44" t="s">
        <v>70</v>
      </c>
      <c r="B71" s="13" t="s">
        <v>25</v>
      </c>
      <c r="C71" s="14">
        <v>0</v>
      </c>
      <c r="D71" s="45"/>
      <c r="E71" s="15">
        <v>999</v>
      </c>
      <c r="F71" s="16"/>
      <c r="G71" s="17">
        <f>Table1[[#This Row],[REAL Sofort CO2]]/kgemission_per_sp</f>
        <v>0</v>
      </c>
      <c r="H71" s="130">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c r="Z71" t="str">
        <f t="shared" si="2"/>
        <v/>
      </c>
      <c r="AA71" t="str">
        <f>CHAR(34)&amp;VLOOKUP(Table1[[#This Row],[Name]],'Massnahmenkarten Texte'!A:C,3,FALSE)&amp;CHAR(34)</f>
        <v>"Infrarotpaneele können in fast jedem Haus nachgerüstet werden, sind aber weit weniger effizient als Wärmepumpen und benötigen teuren Strom."</v>
      </c>
    </row>
    <row r="72" spans="1:27" ht="22.5" customHeight="1" x14ac:dyDescent="0.25">
      <c r="A72" s="69" t="s">
        <v>102</v>
      </c>
      <c r="B72" s="13" t="s">
        <v>25</v>
      </c>
      <c r="C72" s="14">
        <v>1</v>
      </c>
      <c r="D72" s="70" t="s">
        <v>26</v>
      </c>
      <c r="E72" s="71">
        <v>2</v>
      </c>
      <c r="F72" s="72"/>
      <c r="G72" s="73">
        <f>Table1[[#This Row],[REAL Sofort CO2]]/kgemission_per_sp</f>
        <v>0</v>
      </c>
      <c r="H72" s="131">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c r="Z72" t="str">
        <f t="shared" si="2"/>
        <v>EFXXXXWP</v>
      </c>
      <c r="AA72"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3" spans="1:27" ht="22.5" customHeight="1" x14ac:dyDescent="0.25">
      <c r="A73" s="32"/>
      <c r="B73" s="80"/>
      <c r="C73" s="40"/>
      <c r="D73" s="40"/>
      <c r="E73" s="81"/>
      <c r="F73" s="17"/>
      <c r="G73" s="17"/>
      <c r="H73" s="132"/>
      <c r="I73" s="82"/>
      <c r="J73" s="83"/>
      <c r="K73" s="84"/>
      <c r="L73" s="85"/>
      <c r="M73" s="48"/>
      <c r="N73" s="48"/>
      <c r="O73" s="25"/>
      <c r="P73" s="16"/>
      <c r="Q73" s="26"/>
      <c r="R73" s="27"/>
      <c r="S73" s="28"/>
      <c r="T73" s="29"/>
      <c r="U73" s="30"/>
      <c r="V73" s="31"/>
      <c r="W73" s="32"/>
      <c r="X73" s="32"/>
      <c r="Y73" s="32"/>
    </row>
    <row r="74" spans="1:27" ht="22.5" customHeight="1" x14ac:dyDescent="0.25">
      <c r="A74" s="32"/>
      <c r="B74" s="80"/>
      <c r="C74" s="40"/>
      <c r="D74" s="40"/>
      <c r="E74" s="81"/>
      <c r="F74" s="17"/>
      <c r="G74" s="17"/>
      <c r="H74" s="132"/>
      <c r="I74" s="82"/>
      <c r="J74" s="83"/>
      <c r="K74" s="84"/>
      <c r="L74" s="85"/>
      <c r="M74" s="48"/>
      <c r="N74" s="48"/>
      <c r="O74" s="25"/>
      <c r="P74" s="16"/>
      <c r="Q74" s="26"/>
      <c r="R74" s="27"/>
      <c r="S74" s="28"/>
      <c r="T74" s="29"/>
      <c r="U74" s="30"/>
      <c r="V74" s="31"/>
      <c r="W74" s="32"/>
      <c r="X74" s="32"/>
      <c r="Y74" s="32"/>
    </row>
    <row r="75" spans="1:27" ht="22.5" customHeight="1" x14ac:dyDescent="0.25">
      <c r="A75" s="32"/>
      <c r="B75" s="80"/>
      <c r="C75" s="40"/>
      <c r="D75" s="40"/>
      <c r="E75" s="81"/>
      <c r="F75" s="17"/>
      <c r="G75" s="17"/>
      <c r="H75" s="132"/>
      <c r="I75" s="82"/>
      <c r="J75" s="83"/>
      <c r="K75" s="84"/>
      <c r="L75" s="85"/>
      <c r="M75" s="48"/>
      <c r="N75" s="48"/>
      <c r="O75" s="25"/>
      <c r="P75" s="16"/>
      <c r="Q75" s="26"/>
      <c r="R75" s="27"/>
      <c r="S75" s="28"/>
      <c r="T75" s="29"/>
      <c r="U75" s="30"/>
      <c r="V75" s="31"/>
      <c r="W75" s="32"/>
      <c r="X75" s="32"/>
      <c r="Y75" s="32"/>
    </row>
    <row r="76" spans="1:27" ht="22.5" customHeight="1" x14ac:dyDescent="0.25">
      <c r="A76" s="32"/>
      <c r="B76" s="80"/>
      <c r="C76" s="40"/>
      <c r="D76" s="40"/>
      <c r="E76" s="81"/>
      <c r="F76" s="17"/>
      <c r="G76" s="17"/>
      <c r="H76" s="132"/>
      <c r="I76" s="82"/>
      <c r="J76" s="83"/>
      <c r="K76" s="84"/>
      <c r="L76" s="85"/>
      <c r="M76" s="48"/>
      <c r="N76" s="48"/>
      <c r="O76" s="25"/>
      <c r="P76" s="16"/>
      <c r="Q76" s="26"/>
      <c r="R76" s="27"/>
      <c r="S76" s="28"/>
      <c r="T76" s="29"/>
      <c r="U76" s="30"/>
      <c r="V76" s="31"/>
      <c r="W76" s="32"/>
      <c r="X76" s="32"/>
      <c r="Y76" s="32"/>
    </row>
    <row r="77" spans="1:27" ht="22.5" customHeight="1" x14ac:dyDescent="0.25">
      <c r="A77" s="32"/>
      <c r="B77" s="80"/>
      <c r="C77" s="40"/>
      <c r="D77" s="40"/>
      <c r="E77" s="81"/>
      <c r="F77" s="17"/>
      <c r="G77" s="17"/>
      <c r="H77" s="132"/>
      <c r="I77" s="82"/>
      <c r="J77" s="83"/>
      <c r="K77" s="84"/>
      <c r="L77" s="85"/>
      <c r="M77" s="48"/>
      <c r="N77" s="48"/>
      <c r="O77" s="25"/>
      <c r="P77" s="16"/>
      <c r="Q77" s="26"/>
      <c r="R77" s="27"/>
      <c r="S77" s="28"/>
      <c r="T77" s="29"/>
      <c r="U77" s="30"/>
      <c r="V77" s="31"/>
      <c r="W77" s="32"/>
      <c r="X77" s="32"/>
      <c r="Y77" s="32"/>
    </row>
    <row r="78" spans="1:27" ht="22.5" customHeight="1" x14ac:dyDescent="0.25">
      <c r="A78" s="32"/>
      <c r="B78" s="80"/>
      <c r="C78" s="40"/>
      <c r="D78" s="40"/>
      <c r="E78" s="81"/>
      <c r="F78" s="17"/>
      <c r="G78" s="17"/>
      <c r="H78" s="132"/>
      <c r="I78" s="82"/>
      <c r="J78" s="83"/>
      <c r="K78" s="84"/>
      <c r="L78" s="85"/>
      <c r="M78" s="48"/>
      <c r="N78" s="48"/>
      <c r="O78" s="25"/>
      <c r="P78" s="16"/>
      <c r="Q78" s="26"/>
      <c r="R78" s="27"/>
      <c r="S78" s="28"/>
      <c r="T78" s="29"/>
      <c r="U78" s="30"/>
      <c r="V78" s="31"/>
      <c r="W78" s="32"/>
      <c r="X78" s="32"/>
      <c r="Y78" s="32"/>
    </row>
    <row r="79" spans="1:27" ht="22.5" customHeight="1" x14ac:dyDescent="0.25">
      <c r="A79" s="32"/>
      <c r="B79" s="80"/>
      <c r="C79" s="40"/>
      <c r="D79" s="40"/>
      <c r="E79" s="81"/>
      <c r="F79" s="17"/>
      <c r="G79" s="17"/>
      <c r="H79" s="132"/>
      <c r="I79" s="82"/>
      <c r="J79" s="83"/>
      <c r="K79" s="84"/>
      <c r="L79" s="85"/>
      <c r="M79" s="48"/>
      <c r="N79" s="48"/>
      <c r="O79" s="25"/>
      <c r="P79" s="16"/>
      <c r="Q79" s="26"/>
      <c r="R79" s="27"/>
      <c r="S79" s="28"/>
      <c r="T79" s="29"/>
      <c r="U79" s="30"/>
      <c r="V79" s="31"/>
      <c r="W79" s="32"/>
      <c r="X79" s="32"/>
      <c r="Y79" s="32"/>
    </row>
    <row r="80" spans="1:27" ht="22.5" customHeight="1" x14ac:dyDescent="0.25">
      <c r="A80" s="32"/>
      <c r="B80" s="80"/>
      <c r="C80" s="40"/>
      <c r="D80" s="40"/>
      <c r="E80" s="81"/>
      <c r="F80" s="17"/>
      <c r="G80" s="17"/>
      <c r="H80" s="132"/>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2"/>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2"/>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2"/>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2"/>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2"/>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2"/>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2"/>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2"/>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2"/>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2"/>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2"/>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2"/>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2"/>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2"/>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2"/>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2"/>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2"/>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2"/>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2"/>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2"/>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2"/>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2"/>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2"/>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2"/>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2"/>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2"/>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2"/>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2"/>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2"/>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2"/>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2"/>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2"/>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2"/>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2"/>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2"/>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2"/>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2"/>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2"/>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2"/>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2"/>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2"/>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2"/>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2"/>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2"/>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2"/>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2"/>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2"/>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2"/>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2"/>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2"/>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2"/>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2"/>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2"/>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2"/>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2"/>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2"/>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2"/>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2"/>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2"/>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2"/>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2"/>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2"/>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2"/>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2"/>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2"/>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2"/>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2"/>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2"/>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2"/>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2"/>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2"/>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2"/>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2"/>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2"/>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2"/>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2"/>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2"/>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2"/>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2"/>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2"/>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2"/>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2"/>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2"/>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2"/>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2"/>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2"/>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2"/>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2"/>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2"/>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2"/>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2"/>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2"/>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2"/>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2"/>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2"/>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2"/>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2"/>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2"/>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2"/>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2"/>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2"/>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2"/>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2"/>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2"/>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2"/>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2"/>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2"/>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2"/>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2"/>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2"/>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2"/>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2"/>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2"/>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2"/>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2"/>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2"/>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2"/>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2"/>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2"/>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2"/>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2"/>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2"/>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2"/>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2"/>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2"/>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2"/>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2"/>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2"/>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2"/>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2"/>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2"/>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2"/>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2"/>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2"/>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2"/>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2"/>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2"/>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2"/>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2"/>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2"/>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2"/>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2"/>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2"/>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2"/>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2"/>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2"/>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2"/>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2"/>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2"/>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2"/>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2"/>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2"/>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2"/>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2"/>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2"/>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2"/>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2"/>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2"/>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2"/>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2"/>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2"/>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2"/>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2"/>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2"/>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2"/>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2"/>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2"/>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2"/>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2"/>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2"/>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2"/>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2"/>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2"/>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2"/>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2"/>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2"/>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2"/>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2"/>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2"/>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2"/>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2"/>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2"/>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2"/>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2"/>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2"/>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2"/>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2"/>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2"/>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2"/>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2"/>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2"/>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2"/>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2"/>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2"/>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2"/>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2"/>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2"/>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2"/>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2"/>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2"/>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2"/>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2"/>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2"/>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2"/>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2"/>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2"/>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2"/>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2"/>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2"/>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2"/>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2"/>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2"/>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2"/>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2"/>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2"/>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2"/>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2"/>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2"/>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2"/>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2"/>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2"/>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2"/>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2"/>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2"/>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2"/>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2"/>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2"/>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2"/>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2"/>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2"/>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2"/>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2"/>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2"/>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2"/>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2"/>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2"/>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2"/>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2"/>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2"/>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2"/>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2"/>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2"/>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2"/>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2"/>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2"/>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2"/>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2"/>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2"/>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2"/>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2"/>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2"/>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2"/>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2"/>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2"/>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2"/>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2"/>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2"/>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2"/>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2"/>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2"/>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2"/>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2"/>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2"/>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2"/>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2"/>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2"/>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2"/>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2"/>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2"/>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2"/>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2"/>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2"/>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2"/>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2"/>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2"/>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2"/>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2"/>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2"/>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2"/>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2"/>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2"/>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2"/>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2"/>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2"/>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2"/>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2"/>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2"/>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2"/>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2"/>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2"/>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2"/>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2"/>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2"/>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2"/>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2"/>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2"/>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2"/>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2"/>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2"/>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2"/>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2"/>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2"/>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2"/>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2"/>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2"/>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2"/>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2"/>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2"/>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2"/>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2"/>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2"/>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2"/>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2"/>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2"/>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2"/>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2"/>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2"/>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2"/>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2"/>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2"/>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2"/>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2"/>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2"/>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2"/>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2"/>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2"/>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2"/>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2"/>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2"/>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2"/>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2"/>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2"/>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2"/>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2"/>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2"/>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2"/>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2"/>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2"/>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2"/>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2"/>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2"/>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2"/>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2"/>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2"/>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2"/>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2"/>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2"/>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2"/>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2"/>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2"/>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2"/>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2"/>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2"/>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2"/>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2"/>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2"/>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2"/>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2"/>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2"/>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2"/>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2"/>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2"/>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2"/>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2"/>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2"/>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2"/>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2"/>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2"/>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2"/>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2"/>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2"/>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2"/>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2"/>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2"/>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2"/>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2"/>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2"/>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2"/>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2"/>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2"/>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2"/>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2"/>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2"/>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2"/>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2"/>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2"/>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2"/>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2"/>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2"/>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2"/>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2"/>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2"/>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2"/>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2"/>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2"/>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2"/>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2"/>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2"/>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2"/>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2"/>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2"/>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2"/>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2"/>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2"/>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2"/>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2"/>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2"/>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2"/>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2"/>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2"/>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2"/>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2"/>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2"/>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2"/>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2"/>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2"/>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2"/>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2"/>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2"/>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2"/>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2"/>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2"/>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2"/>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2"/>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2"/>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2"/>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2"/>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2"/>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2"/>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2"/>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2"/>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2"/>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2"/>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2"/>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2"/>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2"/>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2"/>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2"/>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2"/>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2"/>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2"/>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2"/>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2"/>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2"/>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2"/>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2"/>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2"/>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2"/>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2"/>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2"/>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2"/>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2"/>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2"/>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2"/>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2"/>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2"/>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2"/>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2"/>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2"/>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2"/>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2"/>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2"/>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2"/>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2"/>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2"/>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2"/>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2"/>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2"/>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2"/>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2"/>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2"/>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2"/>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2"/>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2"/>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2"/>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2"/>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2"/>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2"/>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2"/>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2"/>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2"/>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2"/>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2"/>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2"/>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2"/>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2"/>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2"/>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2"/>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2"/>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2"/>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2"/>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2"/>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2"/>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2"/>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2"/>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2"/>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2"/>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2"/>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2"/>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2"/>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2"/>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2"/>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2"/>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2"/>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2"/>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2"/>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2"/>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2"/>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2"/>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2"/>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2"/>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2"/>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2"/>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2"/>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2"/>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2"/>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2"/>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2"/>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2"/>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2"/>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2"/>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2"/>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2"/>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2"/>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2"/>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2"/>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2"/>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2"/>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2"/>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2"/>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2"/>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2"/>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2"/>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2"/>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2"/>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2"/>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2"/>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2"/>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2"/>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2"/>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2"/>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2"/>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2"/>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2"/>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2"/>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2"/>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2"/>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2"/>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2"/>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2"/>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2"/>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2"/>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2"/>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2"/>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2"/>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2"/>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2"/>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2"/>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2"/>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2"/>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2"/>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2"/>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2"/>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2"/>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2"/>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2"/>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2"/>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2"/>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2"/>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2"/>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2"/>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2"/>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2"/>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2"/>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2"/>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2"/>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2"/>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2"/>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2"/>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2"/>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2"/>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2"/>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2"/>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2"/>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2"/>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2"/>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2"/>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2"/>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2"/>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2"/>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2"/>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2"/>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2"/>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2"/>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2"/>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2"/>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2"/>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2"/>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2"/>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2"/>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2"/>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2"/>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2"/>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2"/>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2"/>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2"/>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2"/>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2"/>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2"/>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2"/>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2"/>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2"/>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2"/>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2"/>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2"/>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2"/>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2"/>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2"/>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2"/>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2"/>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2"/>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2"/>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2"/>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2"/>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2"/>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2"/>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2"/>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2"/>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2"/>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2"/>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2"/>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2"/>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2"/>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2"/>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2"/>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2"/>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2"/>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2"/>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2"/>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2"/>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2"/>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2"/>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2"/>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2"/>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2"/>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2"/>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2"/>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2"/>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2"/>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2"/>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2"/>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2"/>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2"/>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2"/>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2"/>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2"/>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2"/>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2"/>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2"/>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2"/>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2"/>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2"/>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2"/>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2"/>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2"/>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2"/>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2"/>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2"/>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2"/>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2"/>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2"/>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2"/>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2"/>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2"/>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2"/>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2"/>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2"/>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2"/>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2"/>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2"/>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2"/>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2"/>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2"/>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2"/>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2"/>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2"/>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2"/>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2"/>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2"/>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2"/>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2"/>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2"/>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2"/>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2"/>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2"/>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2"/>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2"/>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2"/>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2"/>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2"/>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2"/>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2"/>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2"/>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2"/>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2"/>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2"/>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2"/>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2"/>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2"/>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2"/>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2"/>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2"/>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2"/>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2"/>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2"/>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2"/>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2"/>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2"/>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2"/>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2"/>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2"/>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2"/>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2"/>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2"/>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2"/>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2"/>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2"/>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2"/>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2"/>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2"/>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2"/>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2"/>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2"/>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2"/>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2"/>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2"/>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2"/>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2"/>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2"/>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2"/>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2"/>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2"/>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2"/>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2"/>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2"/>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2"/>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2"/>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2"/>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2"/>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2"/>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2"/>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2"/>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2"/>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2"/>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2"/>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2"/>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2"/>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2"/>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2"/>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2"/>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2"/>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2"/>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2"/>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2"/>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2"/>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2"/>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2"/>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2"/>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2"/>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2"/>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2"/>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2"/>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2"/>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2"/>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2"/>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2"/>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2"/>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2"/>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2"/>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2"/>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2"/>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2"/>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2"/>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2"/>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2"/>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2"/>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2"/>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2"/>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2"/>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2"/>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2"/>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2"/>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2"/>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2"/>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2"/>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2"/>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2"/>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2"/>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2"/>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2"/>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2"/>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2"/>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2"/>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2"/>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2"/>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2"/>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2"/>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2"/>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2"/>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2"/>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2"/>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2"/>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2"/>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2"/>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2"/>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2"/>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2"/>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2"/>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2"/>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2"/>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2"/>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2"/>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2"/>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2"/>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2"/>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2"/>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2"/>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2"/>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2"/>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2"/>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2"/>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2"/>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2"/>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2"/>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2"/>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2"/>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2"/>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2"/>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2"/>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2"/>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2"/>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2"/>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2"/>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2"/>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2"/>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2"/>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2"/>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2"/>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2"/>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2"/>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2"/>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2"/>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2"/>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2"/>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2"/>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2"/>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2"/>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2"/>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2"/>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2"/>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2"/>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2"/>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2"/>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2"/>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2"/>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2"/>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2"/>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2"/>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2"/>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2"/>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2"/>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2"/>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2"/>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2"/>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2"/>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2"/>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2"/>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2"/>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2"/>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2"/>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2"/>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2"/>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2"/>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2"/>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2"/>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2"/>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2"/>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2"/>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2"/>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2"/>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2"/>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2"/>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2"/>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2"/>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2"/>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2"/>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2"/>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2"/>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2"/>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2"/>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2"/>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2"/>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2"/>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2"/>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2"/>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2"/>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2"/>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2"/>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2"/>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2"/>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2"/>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2"/>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2"/>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2"/>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2"/>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2"/>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2"/>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2"/>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2"/>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2"/>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58" activePane="bottomLeft" state="frozen"/>
      <selection pane="bottomLeft" activeCell="A72" sqref="A72"/>
    </sheetView>
  </sheetViews>
  <sheetFormatPr baseColWidth="10"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103</v>
      </c>
      <c r="C1" s="2" t="s">
        <v>104</v>
      </c>
      <c r="D1" s="2" t="s">
        <v>105</v>
      </c>
      <c r="E1" s="1" t="s">
        <v>106</v>
      </c>
      <c r="F1" s="1" t="s">
        <v>107</v>
      </c>
      <c r="G1" s="1" t="s">
        <v>108</v>
      </c>
      <c r="H1" s="1" t="s">
        <v>109</v>
      </c>
      <c r="I1" s="86"/>
      <c r="J1" s="86"/>
      <c r="K1" s="86"/>
      <c r="L1" s="86"/>
      <c r="M1" s="86"/>
      <c r="N1" s="86"/>
      <c r="O1" s="86"/>
      <c r="P1" s="86"/>
      <c r="Q1" s="86"/>
      <c r="R1" s="86"/>
      <c r="S1" s="86"/>
      <c r="T1" s="86"/>
      <c r="U1" s="86"/>
      <c r="V1" s="86"/>
    </row>
    <row r="2" spans="1:22" ht="22.5" customHeight="1" x14ac:dyDescent="0.25">
      <c r="A2" s="12" t="s">
        <v>80</v>
      </c>
      <c r="B2" s="14" t="s">
        <v>110</v>
      </c>
      <c r="C2" s="14" t="s">
        <v>111</v>
      </c>
      <c r="D2" s="14" t="s">
        <v>112</v>
      </c>
      <c r="E2" s="49" t="s">
        <v>113</v>
      </c>
      <c r="F2" s="49"/>
      <c r="G2" s="49"/>
      <c r="H2" s="87"/>
      <c r="I2" s="86"/>
      <c r="J2" s="86"/>
      <c r="K2" s="86"/>
      <c r="L2" s="86"/>
      <c r="M2" s="86"/>
      <c r="N2" s="86"/>
      <c r="O2" s="86"/>
      <c r="P2" s="86"/>
      <c r="Q2" s="86"/>
      <c r="R2" s="86"/>
      <c r="S2" s="86"/>
      <c r="T2" s="86"/>
      <c r="U2" s="86"/>
      <c r="V2" s="86"/>
    </row>
    <row r="3" spans="1:22" ht="22.5" customHeight="1" x14ac:dyDescent="0.25">
      <c r="A3" s="44" t="s">
        <v>85</v>
      </c>
      <c r="B3" s="53" t="s">
        <v>114</v>
      </c>
      <c r="C3" s="53" t="s">
        <v>115</v>
      </c>
      <c r="D3" s="53" t="s">
        <v>112</v>
      </c>
      <c r="E3" s="45" t="s">
        <v>113</v>
      </c>
      <c r="F3" s="45"/>
      <c r="G3" s="45"/>
      <c r="H3" s="88"/>
      <c r="I3" s="86"/>
      <c r="J3" s="86"/>
      <c r="K3" s="86"/>
      <c r="L3" s="86"/>
      <c r="M3" s="86"/>
      <c r="N3" s="86"/>
      <c r="O3" s="86"/>
      <c r="P3" s="86"/>
      <c r="Q3" s="86"/>
      <c r="R3" s="86"/>
      <c r="S3" s="86"/>
      <c r="T3" s="86"/>
      <c r="U3" s="86"/>
      <c r="V3" s="86"/>
    </row>
    <row r="4" spans="1:22" ht="22.5" customHeight="1" x14ac:dyDescent="0.25">
      <c r="A4" s="12" t="s">
        <v>63</v>
      </c>
      <c r="B4" s="14" t="s">
        <v>116</v>
      </c>
      <c r="C4" s="14" t="s">
        <v>117</v>
      </c>
      <c r="D4" s="14" t="s">
        <v>118</v>
      </c>
      <c r="E4" s="49" t="s">
        <v>113</v>
      </c>
      <c r="F4" s="49"/>
      <c r="G4" s="89">
        <v>35</v>
      </c>
      <c r="H4" s="87"/>
      <c r="I4" s="86"/>
      <c r="J4" s="86"/>
      <c r="K4" s="86"/>
      <c r="L4" s="86"/>
      <c r="M4" s="86"/>
      <c r="N4" s="86"/>
      <c r="O4" s="86"/>
      <c r="P4" s="86"/>
      <c r="Q4" s="86"/>
      <c r="R4" s="86"/>
      <c r="S4" s="86"/>
      <c r="T4" s="86"/>
      <c r="U4" s="86"/>
      <c r="V4" s="86"/>
    </row>
    <row r="5" spans="1:22" ht="22.5" customHeight="1" x14ac:dyDescent="0.25">
      <c r="A5" s="44" t="s">
        <v>43</v>
      </c>
      <c r="B5" s="53" t="s">
        <v>119</v>
      </c>
      <c r="C5" s="53" t="s">
        <v>120</v>
      </c>
      <c r="D5" s="53" t="s">
        <v>118</v>
      </c>
      <c r="E5" s="45" t="s">
        <v>113</v>
      </c>
      <c r="F5" s="45"/>
      <c r="G5" s="90">
        <v>36</v>
      </c>
      <c r="H5" s="88"/>
      <c r="I5" s="86"/>
      <c r="J5" s="86"/>
      <c r="K5" s="86"/>
      <c r="L5" s="86"/>
      <c r="M5" s="86"/>
      <c r="N5" s="86"/>
      <c r="O5" s="86"/>
      <c r="P5" s="86"/>
      <c r="Q5" s="86"/>
      <c r="R5" s="86"/>
      <c r="S5" s="86"/>
      <c r="T5" s="86"/>
      <c r="U5" s="86"/>
      <c r="V5" s="86"/>
    </row>
    <row r="6" spans="1:22" ht="22.5" customHeight="1" x14ac:dyDescent="0.25">
      <c r="A6" s="12" t="s">
        <v>97</v>
      </c>
      <c r="B6" s="14" t="s">
        <v>121</v>
      </c>
      <c r="C6" s="14" t="s">
        <v>122</v>
      </c>
      <c r="D6" s="14" t="s">
        <v>118</v>
      </c>
      <c r="E6" s="49" t="s">
        <v>113</v>
      </c>
      <c r="F6" s="49"/>
      <c r="G6" s="49"/>
      <c r="H6" s="87"/>
      <c r="I6" s="86"/>
      <c r="J6" s="86"/>
      <c r="K6" s="86"/>
      <c r="L6" s="86"/>
      <c r="M6" s="86"/>
      <c r="N6" s="86"/>
      <c r="O6" s="86"/>
      <c r="P6" s="86"/>
      <c r="Q6" s="86"/>
      <c r="R6" s="86"/>
      <c r="S6" s="86"/>
      <c r="T6" s="86"/>
      <c r="U6" s="86"/>
      <c r="V6" s="86"/>
    </row>
    <row r="7" spans="1:22" ht="22.5" customHeight="1" x14ac:dyDescent="0.25">
      <c r="A7" s="44" t="s">
        <v>92</v>
      </c>
      <c r="B7" s="53" t="s">
        <v>123</v>
      </c>
      <c r="C7" s="53" t="s">
        <v>124</v>
      </c>
      <c r="D7" s="53" t="s">
        <v>125</v>
      </c>
      <c r="E7" s="45" t="s">
        <v>126</v>
      </c>
      <c r="F7" s="45"/>
      <c r="G7" s="45"/>
      <c r="H7" s="88"/>
      <c r="I7" s="86"/>
      <c r="J7" s="86"/>
      <c r="K7" s="86"/>
      <c r="L7" s="86"/>
      <c r="M7" s="86"/>
      <c r="N7" s="86"/>
      <c r="O7" s="86"/>
      <c r="P7" s="86"/>
      <c r="Q7" s="86"/>
      <c r="R7" s="86"/>
      <c r="S7" s="86"/>
      <c r="T7" s="86"/>
      <c r="U7" s="86"/>
      <c r="V7" s="86"/>
    </row>
    <row r="8" spans="1:22" ht="22.5" customHeight="1" x14ac:dyDescent="0.25">
      <c r="A8" s="12" t="s">
        <v>62</v>
      </c>
      <c r="B8" s="14" t="s">
        <v>127</v>
      </c>
      <c r="C8" s="14" t="s">
        <v>128</v>
      </c>
      <c r="D8" s="14" t="s">
        <v>129</v>
      </c>
      <c r="E8" s="91"/>
      <c r="F8" s="91" t="s">
        <v>130</v>
      </c>
      <c r="G8" s="89">
        <v>12</v>
      </c>
      <c r="H8" s="87"/>
      <c r="I8" s="86"/>
      <c r="J8" s="86"/>
      <c r="K8" s="86"/>
      <c r="L8" s="86"/>
      <c r="M8" s="86"/>
      <c r="N8" s="86"/>
      <c r="O8" s="86"/>
      <c r="P8" s="86"/>
      <c r="Q8" s="86"/>
      <c r="R8" s="86"/>
      <c r="S8" s="86"/>
      <c r="T8" s="86"/>
      <c r="U8" s="86"/>
      <c r="V8" s="86"/>
    </row>
    <row r="9" spans="1:22" ht="22.5" customHeight="1" x14ac:dyDescent="0.25">
      <c r="A9" s="44" t="s">
        <v>69</v>
      </c>
      <c r="B9" s="53" t="s">
        <v>131</v>
      </c>
      <c r="C9" s="53" t="s">
        <v>132</v>
      </c>
      <c r="D9" s="53" t="s">
        <v>133</v>
      </c>
      <c r="E9" s="92"/>
      <c r="F9" s="92" t="s">
        <v>130</v>
      </c>
      <c r="G9" s="90">
        <v>12</v>
      </c>
      <c r="H9" s="88"/>
      <c r="I9" s="86"/>
      <c r="J9" s="86"/>
      <c r="K9" s="86"/>
      <c r="L9" s="86"/>
      <c r="M9" s="86"/>
      <c r="N9" s="86"/>
      <c r="O9" s="86"/>
      <c r="P9" s="86"/>
      <c r="Q9" s="86"/>
      <c r="R9" s="86"/>
      <c r="S9" s="86"/>
      <c r="T9" s="86"/>
      <c r="U9" s="86"/>
      <c r="V9" s="86"/>
    </row>
    <row r="10" spans="1:22" ht="22.5" customHeight="1" x14ac:dyDescent="0.25">
      <c r="A10" s="12" t="s">
        <v>88</v>
      </c>
      <c r="B10" s="14" t="s">
        <v>134</v>
      </c>
      <c r="C10" s="14" t="s">
        <v>132</v>
      </c>
      <c r="D10" s="14" t="s">
        <v>133</v>
      </c>
      <c r="E10" s="91"/>
      <c r="F10" s="91" t="s">
        <v>130</v>
      </c>
      <c r="G10" s="89">
        <v>12</v>
      </c>
      <c r="H10" s="87"/>
      <c r="I10" s="86"/>
      <c r="J10" s="86"/>
      <c r="K10" s="86"/>
      <c r="L10" s="86"/>
      <c r="M10" s="86"/>
      <c r="N10" s="86"/>
      <c r="O10" s="86"/>
      <c r="P10" s="86"/>
      <c r="Q10" s="86"/>
      <c r="R10" s="86"/>
      <c r="S10" s="86"/>
      <c r="T10" s="86"/>
      <c r="U10" s="86"/>
      <c r="V10" s="86"/>
    </row>
    <row r="11" spans="1:22" ht="22.5" customHeight="1" x14ac:dyDescent="0.25">
      <c r="A11" s="44" t="s">
        <v>100</v>
      </c>
      <c r="B11" s="53" t="s">
        <v>135</v>
      </c>
      <c r="C11" s="53" t="s">
        <v>132</v>
      </c>
      <c r="D11" s="53" t="s">
        <v>133</v>
      </c>
      <c r="E11" s="92"/>
      <c r="F11" s="92" t="s">
        <v>130</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136</v>
      </c>
      <c r="C12" s="14" t="s">
        <v>137</v>
      </c>
      <c r="D12" s="14" t="s">
        <v>138</v>
      </c>
      <c r="E12" s="49" t="s">
        <v>139</v>
      </c>
      <c r="F12" s="49"/>
      <c r="G12" s="49"/>
      <c r="H12" s="87"/>
      <c r="I12" s="86"/>
      <c r="J12" s="86"/>
      <c r="K12" s="86"/>
      <c r="L12" s="86"/>
      <c r="M12" s="86"/>
      <c r="N12" s="86"/>
      <c r="O12" s="86"/>
      <c r="P12" s="86"/>
      <c r="Q12" s="86"/>
      <c r="R12" s="86"/>
      <c r="S12" s="86"/>
      <c r="T12" s="86"/>
      <c r="U12" s="86"/>
      <c r="V12" s="86"/>
    </row>
    <row r="13" spans="1:22" ht="22.5" customHeight="1" x14ac:dyDescent="0.25">
      <c r="A13" s="44" t="s">
        <v>94</v>
      </c>
      <c r="B13" s="53" t="s">
        <v>140</v>
      </c>
      <c r="C13" s="53" t="s">
        <v>141</v>
      </c>
      <c r="D13" s="53" t="s">
        <v>142</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143</v>
      </c>
      <c r="C14" s="14" t="s">
        <v>144</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145</v>
      </c>
      <c r="C15" s="53" t="s">
        <v>146</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147</v>
      </c>
      <c r="C16" s="14" t="s">
        <v>148</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149</v>
      </c>
      <c r="C17" s="53" t="s">
        <v>150</v>
      </c>
      <c r="D17" s="53" t="s">
        <v>151</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152</v>
      </c>
      <c r="C18" s="14" t="s">
        <v>153</v>
      </c>
      <c r="D18" s="14" t="s">
        <v>154</v>
      </c>
      <c r="E18" s="49"/>
      <c r="F18" s="49"/>
      <c r="G18" s="49"/>
      <c r="H18" s="87"/>
      <c r="I18" s="86"/>
      <c r="J18" s="86"/>
      <c r="K18" s="86"/>
      <c r="L18" s="86"/>
      <c r="M18" s="86"/>
      <c r="N18" s="86"/>
      <c r="O18" s="86"/>
      <c r="P18" s="86"/>
      <c r="Q18" s="86"/>
      <c r="R18" s="86"/>
      <c r="S18" s="86"/>
      <c r="T18" s="86"/>
      <c r="U18" s="86"/>
      <c r="V18" s="86"/>
    </row>
    <row r="19" spans="1:22" ht="22.5" customHeight="1" x14ac:dyDescent="0.25">
      <c r="A19" s="44" t="s">
        <v>89</v>
      </c>
      <c r="B19" s="53" t="s">
        <v>155</v>
      </c>
      <c r="C19" s="53" t="s">
        <v>156</v>
      </c>
      <c r="D19" s="53" t="s">
        <v>129</v>
      </c>
      <c r="E19" s="92"/>
      <c r="F19" s="92" t="s">
        <v>130</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155</v>
      </c>
      <c r="C20" s="14" t="s">
        <v>157</v>
      </c>
      <c r="D20" s="14" t="s">
        <v>129</v>
      </c>
      <c r="E20" s="91" t="s">
        <v>139</v>
      </c>
      <c r="F20" s="91" t="s">
        <v>130</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158</v>
      </c>
      <c r="C21" s="53" t="s">
        <v>159</v>
      </c>
      <c r="D21" s="53" t="s">
        <v>133</v>
      </c>
      <c r="E21" s="92"/>
      <c r="F21" s="92" t="s">
        <v>130</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90</v>
      </c>
      <c r="B22" s="14" t="s">
        <v>155</v>
      </c>
      <c r="C22" s="14" t="s">
        <v>160</v>
      </c>
      <c r="D22" s="14" t="s">
        <v>129</v>
      </c>
      <c r="E22" s="91"/>
      <c r="F22" s="91" t="s">
        <v>130</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155</v>
      </c>
      <c r="C23" s="53" t="s">
        <v>161</v>
      </c>
      <c r="D23" s="53" t="s">
        <v>129</v>
      </c>
      <c r="E23" s="92" t="s">
        <v>139</v>
      </c>
      <c r="F23" s="92" t="s">
        <v>130</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158</v>
      </c>
      <c r="C24" s="14" t="s">
        <v>132</v>
      </c>
      <c r="D24" s="14" t="s">
        <v>133</v>
      </c>
      <c r="E24" s="91"/>
      <c r="F24" s="91" t="s">
        <v>130</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95</v>
      </c>
      <c r="B25" s="95" t="s">
        <v>162</v>
      </c>
      <c r="C25" s="95" t="s">
        <v>163</v>
      </c>
      <c r="D25" s="95" t="s">
        <v>164</v>
      </c>
      <c r="E25" s="96"/>
      <c r="F25" s="92" t="s">
        <v>165</v>
      </c>
      <c r="G25" s="90">
        <v>20</v>
      </c>
      <c r="H25" s="88"/>
      <c r="I25" s="86"/>
      <c r="J25" s="86"/>
      <c r="K25" s="86"/>
      <c r="L25" s="86"/>
      <c r="M25" s="86"/>
      <c r="N25" s="86"/>
      <c r="O25" s="86"/>
      <c r="P25" s="86"/>
      <c r="Q25" s="86"/>
      <c r="R25" s="86"/>
      <c r="S25" s="86"/>
      <c r="T25" s="86"/>
      <c r="U25" s="86"/>
      <c r="V25" s="86"/>
    </row>
    <row r="26" spans="1:22" ht="22.5" customHeight="1" x14ac:dyDescent="0.25">
      <c r="A26" s="68" t="s">
        <v>96</v>
      </c>
      <c r="B26" s="95" t="s">
        <v>166</v>
      </c>
      <c r="C26" s="95" t="s">
        <v>167</v>
      </c>
      <c r="D26" s="95" t="s">
        <v>168</v>
      </c>
      <c r="E26" s="97"/>
      <c r="F26" s="91" t="s">
        <v>165</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169</v>
      </c>
      <c r="C27" s="95" t="s">
        <v>170</v>
      </c>
      <c r="D27" s="95" t="s">
        <v>170</v>
      </c>
      <c r="E27" s="96"/>
      <c r="F27" s="92" t="s">
        <v>165</v>
      </c>
      <c r="G27" s="45"/>
      <c r="H27" s="88"/>
      <c r="I27" s="86"/>
      <c r="J27" s="86"/>
      <c r="K27" s="86"/>
      <c r="L27" s="86"/>
      <c r="M27" s="86"/>
      <c r="N27" s="86"/>
      <c r="O27" s="86"/>
      <c r="P27" s="86"/>
      <c r="Q27" s="86"/>
      <c r="R27" s="86"/>
      <c r="S27" s="86"/>
      <c r="T27" s="86"/>
      <c r="U27" s="86"/>
      <c r="V27" s="86"/>
    </row>
    <row r="28" spans="1:22" ht="22.5" customHeight="1" x14ac:dyDescent="0.25">
      <c r="A28" s="67" t="s">
        <v>42</v>
      </c>
      <c r="B28" s="98" t="s">
        <v>171</v>
      </c>
      <c r="C28" s="98" t="s">
        <v>170</v>
      </c>
      <c r="D28" s="98" t="s">
        <v>170</v>
      </c>
      <c r="E28" s="40" t="s">
        <v>139</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172</v>
      </c>
      <c r="G29" s="45"/>
      <c r="H29" s="88"/>
      <c r="I29" s="86"/>
      <c r="J29" s="86"/>
      <c r="K29" s="86"/>
      <c r="L29" s="86"/>
      <c r="M29" s="86"/>
      <c r="N29" s="86"/>
      <c r="O29" s="86"/>
      <c r="P29" s="86"/>
      <c r="Q29" s="86"/>
      <c r="R29" s="86"/>
      <c r="S29" s="86"/>
      <c r="T29" s="86"/>
      <c r="U29" s="86"/>
      <c r="V29" s="86"/>
    </row>
    <row r="30" spans="1:22" ht="22.5" customHeight="1" x14ac:dyDescent="0.25">
      <c r="A30" s="68" t="s">
        <v>98</v>
      </c>
      <c r="B30" s="95" t="s">
        <v>173</v>
      </c>
      <c r="C30" s="95" t="s">
        <v>170</v>
      </c>
      <c r="D30" s="95" t="s">
        <v>170</v>
      </c>
      <c r="E30" s="97"/>
      <c r="F30" s="91" t="s">
        <v>165</v>
      </c>
      <c r="G30" s="89">
        <v>9</v>
      </c>
      <c r="H30" s="87"/>
      <c r="I30" s="86"/>
      <c r="J30" s="86"/>
      <c r="K30" s="86"/>
      <c r="L30" s="86"/>
      <c r="M30" s="86"/>
      <c r="N30" s="86"/>
      <c r="O30" s="86"/>
      <c r="P30" s="86"/>
      <c r="Q30" s="86"/>
      <c r="R30" s="86"/>
      <c r="S30" s="86"/>
      <c r="T30" s="86"/>
      <c r="U30" s="86"/>
      <c r="V30" s="86"/>
    </row>
    <row r="31" spans="1:22" ht="22.5" customHeight="1" x14ac:dyDescent="0.25">
      <c r="A31" s="44" t="s">
        <v>91</v>
      </c>
      <c r="B31" s="53" t="s">
        <v>174</v>
      </c>
      <c r="C31" s="53" t="s">
        <v>175</v>
      </c>
      <c r="D31" s="53" t="s">
        <v>176</v>
      </c>
      <c r="E31" s="92"/>
      <c r="F31" s="92" t="s">
        <v>165</v>
      </c>
      <c r="G31" s="45"/>
      <c r="H31" s="88"/>
      <c r="I31" s="86"/>
      <c r="J31" s="86"/>
      <c r="K31" s="86"/>
      <c r="L31" s="86"/>
      <c r="M31" s="86"/>
      <c r="N31" s="86"/>
      <c r="O31" s="86"/>
      <c r="P31" s="86"/>
      <c r="Q31" s="86"/>
      <c r="R31" s="86"/>
      <c r="S31" s="86"/>
      <c r="T31" s="86"/>
      <c r="U31" s="86"/>
      <c r="V31" s="86"/>
    </row>
    <row r="32" spans="1:22" ht="22.5" customHeight="1" x14ac:dyDescent="0.25">
      <c r="A32" s="12" t="s">
        <v>58</v>
      </c>
      <c r="B32" s="14" t="s">
        <v>177</v>
      </c>
      <c r="C32" s="14" t="s">
        <v>178</v>
      </c>
      <c r="D32" s="14" t="s">
        <v>179</v>
      </c>
      <c r="E32" s="49" t="s">
        <v>139</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177</v>
      </c>
      <c r="C33" s="53" t="s">
        <v>180</v>
      </c>
      <c r="D33" s="53" t="s">
        <v>179</v>
      </c>
      <c r="E33" s="45" t="s">
        <v>139</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177</v>
      </c>
      <c r="C34" s="14" t="s">
        <v>181</v>
      </c>
      <c r="D34" s="14" t="s">
        <v>179</v>
      </c>
      <c r="E34" s="49" t="s">
        <v>139</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177</v>
      </c>
      <c r="C35" s="53" t="s">
        <v>182</v>
      </c>
      <c r="D35" s="53" t="s">
        <v>179</v>
      </c>
      <c r="E35" s="45" t="s">
        <v>139</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183</v>
      </c>
      <c r="C36" s="14" t="s">
        <v>184</v>
      </c>
      <c r="D36" s="14" t="s">
        <v>185</v>
      </c>
      <c r="E36" s="49" t="s">
        <v>139</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186</v>
      </c>
      <c r="D37" s="45"/>
      <c r="E37" s="45" t="s">
        <v>139</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187</v>
      </c>
      <c r="D38" s="49"/>
      <c r="E38" s="49" t="s">
        <v>139</v>
      </c>
      <c r="F38" s="49"/>
      <c r="G38" s="49"/>
      <c r="H38" s="87"/>
      <c r="I38" s="86"/>
      <c r="J38" s="86"/>
      <c r="K38" s="86"/>
      <c r="L38" s="86"/>
      <c r="M38" s="86"/>
      <c r="N38" s="86"/>
      <c r="O38" s="86"/>
      <c r="P38" s="86"/>
      <c r="Q38" s="86"/>
      <c r="R38" s="86"/>
      <c r="S38" s="86"/>
      <c r="T38" s="86"/>
      <c r="U38" s="86"/>
      <c r="V38" s="86"/>
    </row>
    <row r="39" spans="1:22" ht="22.5" customHeight="1" x14ac:dyDescent="0.25">
      <c r="A39" s="44" t="s">
        <v>93</v>
      </c>
      <c r="B39" s="45"/>
      <c r="C39" s="53" t="s">
        <v>188</v>
      </c>
      <c r="D39" s="45"/>
      <c r="E39" s="45" t="s">
        <v>189</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190</v>
      </c>
      <c r="C40" s="98" t="s">
        <v>191</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192</v>
      </c>
      <c r="C41" s="98" t="s">
        <v>191</v>
      </c>
      <c r="D41" s="99"/>
      <c r="E41" s="43" t="s">
        <v>139</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193</v>
      </c>
      <c r="C42" s="14" t="s">
        <v>194</v>
      </c>
      <c r="D42" s="14" t="s">
        <v>195</v>
      </c>
      <c r="E42" s="49" t="s">
        <v>139</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193</v>
      </c>
      <c r="C43" s="95" t="s">
        <v>196</v>
      </c>
      <c r="D43" s="53" t="s">
        <v>197</v>
      </c>
      <c r="E43" s="45" t="s">
        <v>139</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193</v>
      </c>
      <c r="C44" s="14" t="s">
        <v>198</v>
      </c>
      <c r="D44" s="14" t="s">
        <v>199</v>
      </c>
      <c r="E44" s="49" t="s">
        <v>139</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193</v>
      </c>
      <c r="C45" s="98" t="s">
        <v>200</v>
      </c>
      <c r="D45" s="98" t="s">
        <v>201</v>
      </c>
      <c r="E45" s="43" t="s">
        <v>139</v>
      </c>
      <c r="F45" s="45"/>
      <c r="G45" s="45"/>
      <c r="H45" s="88"/>
      <c r="I45" s="86"/>
      <c r="J45" s="86"/>
      <c r="K45" s="86"/>
      <c r="L45" s="86"/>
      <c r="M45" s="86"/>
      <c r="N45" s="86"/>
      <c r="O45" s="86"/>
      <c r="P45" s="86"/>
      <c r="Q45" s="86"/>
      <c r="R45" s="86"/>
      <c r="S45" s="86"/>
      <c r="T45" s="86"/>
      <c r="U45" s="86"/>
      <c r="V45" s="86"/>
    </row>
    <row r="46" spans="1:22" ht="22.5" customHeight="1" x14ac:dyDescent="0.25">
      <c r="A46" s="12" t="s">
        <v>99</v>
      </c>
      <c r="B46" s="14" t="s">
        <v>202</v>
      </c>
      <c r="C46" s="14" t="s">
        <v>203</v>
      </c>
      <c r="D46" s="14" t="s">
        <v>204</v>
      </c>
      <c r="E46" s="49" t="s">
        <v>205</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206</v>
      </c>
      <c r="C47" s="53" t="s">
        <v>128</v>
      </c>
      <c r="D47" s="53" t="s">
        <v>129</v>
      </c>
      <c r="E47" s="92" t="s">
        <v>139</v>
      </c>
      <c r="F47" s="92" t="s">
        <v>130</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207</v>
      </c>
      <c r="C48" s="14" t="s">
        <v>132</v>
      </c>
      <c r="D48" s="14" t="s">
        <v>133</v>
      </c>
      <c r="E48" s="91" t="s">
        <v>139</v>
      </c>
      <c r="F48" s="91" t="s">
        <v>130</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208</v>
      </c>
      <c r="C49" s="53" t="s">
        <v>132</v>
      </c>
      <c r="D49" s="53" t="s">
        <v>133</v>
      </c>
      <c r="E49" s="92"/>
      <c r="F49" s="92" t="s">
        <v>130</v>
      </c>
      <c r="G49" s="90">
        <v>13</v>
      </c>
      <c r="H49" s="88"/>
      <c r="I49" s="86"/>
      <c r="J49" s="86"/>
      <c r="K49" s="86"/>
      <c r="L49" s="86"/>
      <c r="M49" s="86"/>
      <c r="N49" s="86"/>
      <c r="O49" s="86"/>
      <c r="P49" s="86"/>
      <c r="Q49" s="86"/>
      <c r="R49" s="86"/>
      <c r="S49" s="86"/>
      <c r="T49" s="86"/>
      <c r="U49" s="86"/>
      <c r="V49" s="86"/>
    </row>
    <row r="50" spans="1:22" ht="22.5" customHeight="1" x14ac:dyDescent="0.25">
      <c r="A50" s="12" t="s">
        <v>100</v>
      </c>
      <c r="B50" s="14" t="s">
        <v>209</v>
      </c>
      <c r="C50" s="14" t="s">
        <v>132</v>
      </c>
      <c r="D50" s="14" t="s">
        <v>133</v>
      </c>
      <c r="E50" s="91"/>
      <c r="F50" s="91" t="s">
        <v>130</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210</v>
      </c>
      <c r="C51" s="95" t="s">
        <v>211</v>
      </c>
      <c r="D51" s="95" t="s">
        <v>212</v>
      </c>
      <c r="E51" s="96" t="s">
        <v>139</v>
      </c>
      <c r="F51" s="92" t="s">
        <v>165</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213</v>
      </c>
      <c r="C52" s="14" t="s">
        <v>214</v>
      </c>
      <c r="D52" s="14" t="s">
        <v>215</v>
      </c>
      <c r="E52" s="91" t="s">
        <v>139</v>
      </c>
      <c r="F52" s="91" t="s">
        <v>165</v>
      </c>
      <c r="G52" s="89">
        <v>27</v>
      </c>
      <c r="H52" s="87"/>
      <c r="I52" s="86"/>
      <c r="J52" s="86"/>
      <c r="K52" s="86"/>
      <c r="L52" s="86"/>
      <c r="M52" s="86"/>
      <c r="N52" s="86"/>
      <c r="O52" s="86"/>
      <c r="P52" s="86"/>
      <c r="Q52" s="86"/>
      <c r="R52" s="86"/>
      <c r="S52" s="86"/>
      <c r="T52" s="86"/>
      <c r="U52" s="86"/>
      <c r="V52" s="86"/>
    </row>
    <row r="53" spans="1:22" ht="22.5" customHeight="1" x14ac:dyDescent="0.25">
      <c r="A53" s="44" t="s">
        <v>101</v>
      </c>
      <c r="B53" s="53" t="s">
        <v>216</v>
      </c>
      <c r="C53" s="53" t="s">
        <v>217</v>
      </c>
      <c r="D53" s="53" t="s">
        <v>218</v>
      </c>
      <c r="E53" s="92"/>
      <c r="F53" s="92" t="s">
        <v>165</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216</v>
      </c>
      <c r="C54" s="14" t="s">
        <v>219</v>
      </c>
      <c r="D54" s="14" t="s">
        <v>218</v>
      </c>
      <c r="E54" s="91" t="s">
        <v>139</v>
      </c>
      <c r="F54" s="91" t="s">
        <v>165</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220</v>
      </c>
      <c r="C55" s="95" t="s">
        <v>221</v>
      </c>
      <c r="D55" s="95" t="s">
        <v>222</v>
      </c>
      <c r="E55" s="96" t="s">
        <v>139</v>
      </c>
      <c r="F55" s="92" t="s">
        <v>165</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223</v>
      </c>
      <c r="C56" s="95" t="s">
        <v>224</v>
      </c>
      <c r="D56" s="95" t="s">
        <v>225</v>
      </c>
      <c r="E56" s="97" t="s">
        <v>139</v>
      </c>
      <c r="F56" s="91" t="s">
        <v>165</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226</v>
      </c>
      <c r="C57" s="53" t="s">
        <v>227</v>
      </c>
      <c r="D57" s="53" t="s">
        <v>228</v>
      </c>
      <c r="E57" s="92" t="s">
        <v>139</v>
      </c>
      <c r="F57" s="92" t="s">
        <v>130</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229</v>
      </c>
      <c r="C58" s="14" t="s">
        <v>230</v>
      </c>
      <c r="D58" s="14" t="s">
        <v>231</v>
      </c>
      <c r="E58" s="91" t="s">
        <v>139</v>
      </c>
      <c r="F58" s="91" t="s">
        <v>130</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232</v>
      </c>
      <c r="C59" s="53" t="s">
        <v>233</v>
      </c>
      <c r="D59" s="53" t="s">
        <v>234</v>
      </c>
      <c r="E59" s="92" t="s">
        <v>139</v>
      </c>
      <c r="F59" s="92" t="s">
        <v>130</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235</v>
      </c>
      <c r="C60" s="14" t="s">
        <v>236</v>
      </c>
      <c r="D60" s="14" t="s">
        <v>237</v>
      </c>
      <c r="E60" s="91" t="s">
        <v>139</v>
      </c>
      <c r="F60" s="91" t="s">
        <v>130</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238</v>
      </c>
      <c r="C61" s="53" t="s">
        <v>239</v>
      </c>
      <c r="D61" s="53" t="s">
        <v>240</v>
      </c>
      <c r="E61" s="92" t="s">
        <v>139</v>
      </c>
      <c r="F61" s="92" t="s">
        <v>130</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241</v>
      </c>
      <c r="C62" s="14" t="s">
        <v>242</v>
      </c>
      <c r="D62" s="14" t="s">
        <v>243</v>
      </c>
      <c r="E62" s="91" t="s">
        <v>139</v>
      </c>
      <c r="F62" s="91" t="s">
        <v>130</v>
      </c>
      <c r="G62" s="89">
        <v>27</v>
      </c>
      <c r="H62" s="87"/>
      <c r="I62" s="86"/>
      <c r="J62" s="86"/>
      <c r="K62" s="86"/>
      <c r="L62" s="86"/>
      <c r="M62" s="86"/>
      <c r="N62" s="86"/>
      <c r="O62" s="86"/>
      <c r="P62" s="86"/>
      <c r="Q62" s="86"/>
      <c r="R62" s="86"/>
      <c r="S62" s="86"/>
      <c r="T62" s="86"/>
      <c r="U62" s="86"/>
      <c r="V62" s="86"/>
    </row>
    <row r="63" spans="1:22" ht="22.5" customHeight="1" x14ac:dyDescent="0.25">
      <c r="A63" s="44" t="s">
        <v>102</v>
      </c>
      <c r="B63" s="53" t="s">
        <v>244</v>
      </c>
      <c r="C63" s="53" t="s">
        <v>245</v>
      </c>
      <c r="D63" s="53" t="s">
        <v>246</v>
      </c>
      <c r="E63" s="92" t="s">
        <v>247</v>
      </c>
      <c r="F63" s="92" t="s">
        <v>130</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248</v>
      </c>
      <c r="C64" s="14" t="s">
        <v>249</v>
      </c>
      <c r="D64" s="49"/>
      <c r="E64" s="91" t="s">
        <v>139</v>
      </c>
      <c r="F64" s="91" t="s">
        <v>130</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250</v>
      </c>
      <c r="C65" s="53" t="s">
        <v>251</v>
      </c>
      <c r="D65" s="53" t="s">
        <v>252</v>
      </c>
      <c r="E65" s="45" t="s">
        <v>139</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253</v>
      </c>
      <c r="C66" s="98" t="s">
        <v>254</v>
      </c>
      <c r="D66" s="99"/>
      <c r="E66" s="40" t="s">
        <v>139</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255</v>
      </c>
      <c r="D67" s="45"/>
      <c r="E67" s="45" t="s">
        <v>139</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256</v>
      </c>
      <c r="C68" s="14" t="s">
        <v>257</v>
      </c>
      <c r="D68" s="49"/>
      <c r="E68" s="49" t="s">
        <v>139</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256</v>
      </c>
      <c r="C69" s="53" t="s">
        <v>258</v>
      </c>
      <c r="D69" s="45"/>
      <c r="E69" s="45" t="s">
        <v>139</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259</v>
      </c>
      <c r="C70" s="14" t="s">
        <v>260</v>
      </c>
      <c r="D70" s="14" t="s">
        <v>261</v>
      </c>
      <c r="E70" s="49" t="s">
        <v>139</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262</v>
      </c>
      <c r="C71" s="53" t="s">
        <v>263</v>
      </c>
      <c r="D71" s="53" t="s">
        <v>264</v>
      </c>
      <c r="E71" s="45" t="s">
        <v>139</v>
      </c>
      <c r="F71" s="45"/>
      <c r="G71" s="45"/>
      <c r="H71" s="88"/>
      <c r="I71" s="86"/>
      <c r="J71" s="86"/>
      <c r="K71" s="86"/>
      <c r="L71" s="86"/>
      <c r="M71" s="86"/>
      <c r="N71" s="86"/>
      <c r="O71" s="86"/>
      <c r="P71" s="86"/>
      <c r="Q71" s="86"/>
      <c r="R71" s="86"/>
      <c r="S71" s="86"/>
      <c r="T71" s="86"/>
      <c r="U71" s="86"/>
      <c r="V71" s="86"/>
    </row>
    <row r="72" spans="1:22" ht="22.5" customHeight="1" x14ac:dyDescent="0.25">
      <c r="A72" s="33" t="s">
        <v>346</v>
      </c>
      <c r="B72" s="100" t="s">
        <v>265</v>
      </c>
      <c r="C72" s="100" t="s">
        <v>266</v>
      </c>
      <c r="D72" s="101"/>
      <c r="E72" s="101" t="s">
        <v>139</v>
      </c>
      <c r="F72" s="101"/>
      <c r="G72" s="101"/>
      <c r="H72" s="102"/>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4296875" defaultRowHeight="15.75" customHeight="1" x14ac:dyDescent="0.25"/>
  <cols>
    <col min="1" max="1" width="31.54296875" customWidth="1"/>
    <col min="5" max="5" width="21.7265625" customWidth="1"/>
  </cols>
  <sheetData>
    <row r="1" spans="1:13" ht="22.5" customHeight="1" x14ac:dyDescent="0.25">
      <c r="A1" s="103" t="s">
        <v>267</v>
      </c>
      <c r="B1" s="118" t="s">
        <v>269</v>
      </c>
      <c r="C1" s="121" t="s">
        <v>268</v>
      </c>
      <c r="D1" s="117" t="s">
        <v>309</v>
      </c>
      <c r="E1" s="103" t="s">
        <v>270</v>
      </c>
    </row>
    <row r="2" spans="1:13" ht="22.5" customHeight="1" x14ac:dyDescent="0.25">
      <c r="A2" s="104" t="s">
        <v>271</v>
      </c>
      <c r="B2" s="119">
        <v>5</v>
      </c>
      <c r="C2" s="122">
        <v>1</v>
      </c>
      <c r="D2">
        <f>Table3[[#This Row],[Real]]/Table3[[#This Row],[Spiel]]</f>
        <v>5</v>
      </c>
      <c r="E2" s="104" t="s">
        <v>272</v>
      </c>
    </row>
    <row r="3" spans="1:13" ht="22.5" customHeight="1" x14ac:dyDescent="0.25">
      <c r="A3" s="105" t="s">
        <v>273</v>
      </c>
      <c r="B3" s="119">
        <v>1000</v>
      </c>
      <c r="C3" s="122">
        <v>1</v>
      </c>
      <c r="D3">
        <f>Table3[[#This Row],[Real]]/Table3[[#This Row],[Spiel]]</f>
        <v>1000</v>
      </c>
      <c r="E3" s="104" t="s">
        <v>274</v>
      </c>
    </row>
    <row r="4" spans="1:13" ht="22.5" customHeight="1" x14ac:dyDescent="0.25">
      <c r="A4" s="105" t="s">
        <v>275</v>
      </c>
      <c r="B4" s="119">
        <v>1</v>
      </c>
      <c r="C4" s="122">
        <v>1</v>
      </c>
      <c r="D4">
        <f>Table3[[#This Row],[Real]]/Table3[[#This Row],[Spiel]]</f>
        <v>1</v>
      </c>
      <c r="E4" s="115" t="s">
        <v>306</v>
      </c>
    </row>
    <row r="5" spans="1:13" ht="22.5" customHeight="1" x14ac:dyDescent="0.25">
      <c r="A5" s="105" t="s">
        <v>4</v>
      </c>
      <c r="B5" s="120">
        <v>10000</v>
      </c>
      <c r="C5" s="122">
        <v>1</v>
      </c>
      <c r="D5">
        <f>Table3[[#This Row],[Real]]/Table3[[#This Row],[Spiel]]</f>
        <v>10000</v>
      </c>
      <c r="E5" s="116" t="s">
        <v>311</v>
      </c>
    </row>
    <row r="6" spans="1:13" ht="22.5" customHeight="1" x14ac:dyDescent="0.25">
      <c r="A6" s="105" t="s">
        <v>5</v>
      </c>
      <c r="B6" s="120">
        <v>1</v>
      </c>
      <c r="C6" s="122">
        <v>1</v>
      </c>
      <c r="D6">
        <f>Table3[[#This Row],[Real]]/Table3[[#This Row],[Spiel]]</f>
        <v>1</v>
      </c>
      <c r="E6" s="116" t="s">
        <v>308</v>
      </c>
    </row>
    <row r="7" spans="1:13" ht="22.5" customHeight="1" x14ac:dyDescent="0.25">
      <c r="A7" s="105" t="s">
        <v>7</v>
      </c>
      <c r="B7" s="120">
        <v>5</v>
      </c>
      <c r="C7" s="122">
        <v>1</v>
      </c>
      <c r="D7">
        <f>Table3[[#This Row],[Real]]/Table3[[#This Row],[Spiel]]</f>
        <v>5</v>
      </c>
      <c r="E7" s="116" t="s">
        <v>310</v>
      </c>
      <c r="G7" s="106"/>
      <c r="H7" s="106"/>
      <c r="I7" s="106"/>
      <c r="J7" s="106"/>
      <c r="K7" s="106"/>
      <c r="L7" s="106"/>
      <c r="M7" s="106"/>
    </row>
    <row r="8" spans="1:13" ht="22.5" customHeight="1" x14ac:dyDescent="0.25">
      <c r="A8" s="105" t="s">
        <v>8</v>
      </c>
      <c r="B8" s="120">
        <v>5</v>
      </c>
      <c r="C8" s="122">
        <v>1</v>
      </c>
      <c r="D8">
        <f>Table3[[#This Row],[Real]]/Table3[[#This Row],[Spiel]]</f>
        <v>5</v>
      </c>
      <c r="E8" s="116" t="s">
        <v>310</v>
      </c>
      <c r="G8" s="106"/>
      <c r="H8" s="106"/>
      <c r="I8" s="106"/>
      <c r="J8" s="106"/>
      <c r="K8" s="106"/>
      <c r="L8" s="106"/>
      <c r="M8" s="106"/>
    </row>
    <row r="9" spans="1:13" ht="22.5" customHeight="1" x14ac:dyDescent="0.25">
      <c r="A9" s="105" t="s">
        <v>9</v>
      </c>
      <c r="B9" s="120">
        <v>5</v>
      </c>
      <c r="C9" s="122">
        <v>1</v>
      </c>
      <c r="D9">
        <f>Table3[[#This Row],[Real]]/Table3[[#This Row],[Spiel]]</f>
        <v>5</v>
      </c>
      <c r="E9" s="116" t="s">
        <v>310</v>
      </c>
    </row>
    <row r="10" spans="1:13" ht="22.5" customHeight="1" x14ac:dyDescent="0.25">
      <c r="A10" s="105" t="s">
        <v>276</v>
      </c>
      <c r="B10" s="119">
        <v>5</v>
      </c>
      <c r="C10" s="122">
        <v>1</v>
      </c>
      <c r="D10">
        <f>Table3[[#This Row],[Real]]/Table3[[#This Row],[Spiel]]</f>
        <v>5</v>
      </c>
      <c r="E10" s="116" t="s">
        <v>310</v>
      </c>
    </row>
    <row r="11" spans="1:13" ht="22.5" customHeight="1" x14ac:dyDescent="0.25">
      <c r="A11" s="105" t="s">
        <v>336</v>
      </c>
      <c r="B11" s="119">
        <v>20</v>
      </c>
      <c r="C11" s="122">
        <v>1</v>
      </c>
      <c r="D11">
        <f>Table3[[#This Row],[Real]]/Table3[[#This Row],[Spiel]]</f>
        <v>20</v>
      </c>
      <c r="E11" s="116" t="s">
        <v>310</v>
      </c>
    </row>
    <row r="12" spans="1:13" ht="22.5" customHeight="1" x14ac:dyDescent="0.25">
      <c r="A12" s="105" t="s">
        <v>11</v>
      </c>
      <c r="B12" s="120">
        <v>1</v>
      </c>
      <c r="C12" s="122">
        <v>1</v>
      </c>
      <c r="D12">
        <f>Table3[[#This Row],[Real]]/Table3[[#This Row],[Spiel]]</f>
        <v>1</v>
      </c>
    </row>
    <row r="13" spans="1:13" ht="15.75" customHeight="1" x14ac:dyDescent="0.25">
      <c r="A13" t="s">
        <v>318</v>
      </c>
      <c r="B13" s="119">
        <v>0.1</v>
      </c>
      <c r="C13" s="125">
        <v>1</v>
      </c>
      <c r="D13">
        <f>Table3[[#This Row],[Real]]/Table3[[#This Row],[Spiel]]</f>
        <v>0.1</v>
      </c>
      <c r="E13" t="s">
        <v>324</v>
      </c>
    </row>
    <row r="14" spans="1:13" ht="15.75" customHeight="1" x14ac:dyDescent="0.25">
      <c r="A14" t="s">
        <v>319</v>
      </c>
      <c r="B14" s="119">
        <v>0.05</v>
      </c>
      <c r="C14" s="125">
        <v>1</v>
      </c>
      <c r="D14">
        <f>Table3[[#This Row],[Real]]/Table3[[#This Row],[Spiel]]</f>
        <v>0.05</v>
      </c>
      <c r="E14" t="s">
        <v>324</v>
      </c>
    </row>
    <row r="15" spans="1:13" ht="15.75" customHeight="1" x14ac:dyDescent="0.25">
      <c r="A15" t="s">
        <v>320</v>
      </c>
      <c r="B15" s="119">
        <v>0.03</v>
      </c>
      <c r="C15" s="125">
        <v>1</v>
      </c>
      <c r="D15">
        <f>Table3[[#This Row],[Real]]/Table3[[#This Row],[Spiel]]</f>
        <v>0.03</v>
      </c>
      <c r="E15" t="s">
        <v>324</v>
      </c>
    </row>
    <row r="16" spans="1:13" ht="15.75" customHeight="1" x14ac:dyDescent="0.25">
      <c r="A16" t="s">
        <v>321</v>
      </c>
      <c r="B16" s="119">
        <v>1.4999999999999999E-2</v>
      </c>
      <c r="C16" s="125">
        <v>1</v>
      </c>
      <c r="D16">
        <f>Table3[[#This Row],[Real]]/Table3[[#This Row],[Spiel]]</f>
        <v>1.4999999999999999E-2</v>
      </c>
      <c r="E16" t="s">
        <v>324</v>
      </c>
    </row>
    <row r="17" spans="1:5" ht="15.75" customHeight="1" x14ac:dyDescent="0.25">
      <c r="A17" t="s">
        <v>322</v>
      </c>
      <c r="B17" s="119">
        <v>0</v>
      </c>
      <c r="C17" s="125">
        <v>1</v>
      </c>
      <c r="D17">
        <f>Table3[[#This Row],[Real]]/Table3[[#This Row],[Spiel]]</f>
        <v>0</v>
      </c>
      <c r="E17" t="s">
        <v>324</v>
      </c>
    </row>
    <row r="18" spans="1:5" ht="15.75" customHeight="1" x14ac:dyDescent="0.25">
      <c r="A18" t="s">
        <v>318</v>
      </c>
      <c r="B18" s="124"/>
      <c r="C18" s="125"/>
    </row>
    <row r="19" spans="1:5" ht="15.75" customHeight="1" x14ac:dyDescent="0.25">
      <c r="A19" t="s">
        <v>319</v>
      </c>
      <c r="B19" s="124"/>
      <c r="C19" s="125"/>
    </row>
    <row r="20" spans="1:5" ht="15.75" customHeight="1" x14ac:dyDescent="0.25">
      <c r="A20" t="s">
        <v>320</v>
      </c>
      <c r="B20" s="124"/>
      <c r="C20" s="125"/>
    </row>
    <row r="21" spans="1:5" ht="15.75" customHeight="1" x14ac:dyDescent="0.25">
      <c r="A21" t="s">
        <v>321</v>
      </c>
      <c r="B21" s="124"/>
      <c r="C21" s="125"/>
    </row>
    <row r="22" spans="1:5" ht="15.75" customHeight="1" x14ac:dyDescent="0.25">
      <c r="A22" t="s">
        <v>322</v>
      </c>
      <c r="B22" s="124"/>
      <c r="C22" s="125"/>
    </row>
    <row r="23" spans="1:5" ht="15.75" customHeight="1" x14ac:dyDescent="0.25">
      <c r="A23" t="s">
        <v>330</v>
      </c>
      <c r="B23" s="119">
        <v>0.1</v>
      </c>
      <c r="C23" s="125">
        <v>0.2</v>
      </c>
      <c r="D23">
        <f>Table3[[#This Row],[Real]]/Table3[[#This Row],[Spiel]]</f>
        <v>0.5</v>
      </c>
      <c r="E23" t="s">
        <v>335</v>
      </c>
    </row>
    <row r="24" spans="1:5" ht="15.75" customHeight="1" x14ac:dyDescent="0.25">
      <c r="A24" t="s">
        <v>331</v>
      </c>
      <c r="B24" s="119">
        <v>0.08</v>
      </c>
      <c r="C24" s="125">
        <v>0.2</v>
      </c>
      <c r="D24">
        <f>Table3[[#This Row],[Real]]/Table3[[#This Row],[Spiel]]</f>
        <v>0.39999999999999997</v>
      </c>
      <c r="E24" t="s">
        <v>335</v>
      </c>
    </row>
    <row r="25" spans="1:5" ht="15.75" customHeight="1" x14ac:dyDescent="0.25">
      <c r="A25" t="s">
        <v>332</v>
      </c>
      <c r="B25" s="119">
        <v>0.2</v>
      </c>
      <c r="C25" s="125">
        <v>0.2</v>
      </c>
      <c r="D25">
        <f>Table3[[#This Row],[Real]]/Table3[[#This Row],[Spiel]]</f>
        <v>1</v>
      </c>
      <c r="E25" t="s">
        <v>335</v>
      </c>
    </row>
    <row r="26" spans="1:5" ht="15.75" customHeight="1" x14ac:dyDescent="0.25">
      <c r="A26" t="s">
        <v>333</v>
      </c>
      <c r="B26" s="119">
        <v>0.5</v>
      </c>
      <c r="C26" s="125">
        <v>0.2</v>
      </c>
      <c r="D26">
        <f>Table3[[#This Row],[Real]]/Table3[[#This Row],[Spiel]]</f>
        <v>2.5</v>
      </c>
      <c r="E26" t="s">
        <v>335</v>
      </c>
    </row>
    <row r="27" spans="1:5" ht="15.75" customHeight="1" x14ac:dyDescent="0.25">
      <c r="A27" t="s">
        <v>334</v>
      </c>
      <c r="B27" s="119">
        <v>0.15</v>
      </c>
      <c r="C27" s="125">
        <v>0.2</v>
      </c>
      <c r="D27">
        <f>Table3[[#This Row],[Real]]/Table3[[#This Row],[Spiel]]</f>
        <v>0.74999999999999989</v>
      </c>
      <c r="E27" t="s">
        <v>335</v>
      </c>
    </row>
    <row r="28" spans="1:5" ht="15.75" customHeight="1" x14ac:dyDescent="0.25">
      <c r="A28" t="s">
        <v>337</v>
      </c>
      <c r="B28" s="134"/>
      <c r="C28" s="125">
        <v>2</v>
      </c>
    </row>
    <row r="29" spans="1:5" ht="15.75" customHeight="1" x14ac:dyDescent="0.25">
      <c r="A29" t="s">
        <v>338</v>
      </c>
      <c r="B29" s="119">
        <v>1</v>
      </c>
      <c r="C29" s="125">
        <v>1</v>
      </c>
      <c r="D29">
        <f>Table3[[#This Row],[Real]]/Table3[[#This Row],[Spiel]]</f>
        <v>1</v>
      </c>
    </row>
    <row r="30" spans="1:5" ht="15.75" customHeight="1" x14ac:dyDescent="0.25">
      <c r="A30" t="s">
        <v>339</v>
      </c>
      <c r="B30" s="119">
        <v>2</v>
      </c>
      <c r="C30" s="125">
        <v>1</v>
      </c>
      <c r="D30">
        <f>Table3[[#This Row],[Real]]/Table3[[#This Row],[Spiel]]</f>
        <v>2</v>
      </c>
    </row>
    <row r="31" spans="1:5" ht="15.75" customHeight="1" x14ac:dyDescent="0.25">
      <c r="A31" t="s">
        <v>340</v>
      </c>
      <c r="B31" s="119">
        <v>2.5</v>
      </c>
      <c r="C31" s="125">
        <v>1</v>
      </c>
      <c r="D31">
        <f>Table3[[#This Row],[Real]]/Table3[[#This Row],[Spiel]]</f>
        <v>2.5</v>
      </c>
    </row>
    <row r="32" spans="1:5" ht="15.75" customHeight="1" x14ac:dyDescent="0.25">
      <c r="A32" t="s">
        <v>341</v>
      </c>
      <c r="B32" s="119">
        <v>3.3330000000000002</v>
      </c>
      <c r="C32" s="125">
        <v>1</v>
      </c>
      <c r="D32">
        <f>Table3[[#This Row],[Real]]/Table3[[#This Row],[Spiel]]</f>
        <v>3.3330000000000002</v>
      </c>
    </row>
    <row r="33" spans="1:4" ht="15.75" customHeight="1" x14ac:dyDescent="0.25">
      <c r="A33" t="s">
        <v>342</v>
      </c>
      <c r="B33" s="119">
        <v>4.5454499999999998</v>
      </c>
      <c r="C33" s="125">
        <v>1</v>
      </c>
      <c r="D33">
        <f>Table3[[#This Row],[Real]]/Table3[[#This Row],[Spiel]]</f>
        <v>4.5454499999999998</v>
      </c>
    </row>
    <row r="34" spans="1:4" ht="15.75" customHeight="1" x14ac:dyDescent="0.25">
      <c r="A34" t="s">
        <v>343</v>
      </c>
      <c r="B34" s="119">
        <v>6.66</v>
      </c>
      <c r="C34" s="125">
        <v>1</v>
      </c>
      <c r="D34">
        <f>Table3[[#This Row],[Real]]/Table3[[#This Row],[Spiel]]</f>
        <v>6.66</v>
      </c>
    </row>
    <row r="35" spans="1:4" ht="15.75" customHeight="1" x14ac:dyDescent="0.25">
      <c r="B35" s="135"/>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tabSelected="1" workbookViewId="0">
      <pane ySplit="1" topLeftCell="A2" activePane="bottomLeft" state="frozen"/>
      <selection pane="bottomLeft" activeCell="B9" sqref="B9"/>
    </sheetView>
  </sheetViews>
  <sheetFormatPr baseColWidth="10"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3" t="s">
        <v>267</v>
      </c>
      <c r="B1" s="103" t="s">
        <v>277</v>
      </c>
      <c r="C1" s="107" t="s">
        <v>278</v>
      </c>
      <c r="D1" s="108" t="s">
        <v>279</v>
      </c>
      <c r="E1" s="108" t="s">
        <v>280</v>
      </c>
      <c r="F1" s="108" t="s">
        <v>281</v>
      </c>
      <c r="G1" s="108" t="s">
        <v>282</v>
      </c>
      <c r="H1" s="108" t="s">
        <v>283</v>
      </c>
      <c r="I1" s="108" t="s">
        <v>284</v>
      </c>
      <c r="J1" s="108" t="s">
        <v>285</v>
      </c>
      <c r="K1" s="108" t="s">
        <v>286</v>
      </c>
      <c r="L1" s="108" t="s">
        <v>287</v>
      </c>
      <c r="M1" s="108" t="s">
        <v>288</v>
      </c>
    </row>
    <row r="2" spans="1:13" ht="22.5" customHeight="1" x14ac:dyDescent="0.25">
      <c r="A2" s="104" t="s">
        <v>289</v>
      </c>
      <c r="B2" s="104">
        <v>9</v>
      </c>
      <c r="C2" s="104" t="s">
        <v>290</v>
      </c>
      <c r="D2" s="104">
        <v>-45</v>
      </c>
      <c r="E2" s="104">
        <v>-40</v>
      </c>
      <c r="F2" s="104">
        <v>-35</v>
      </c>
      <c r="G2" s="104">
        <v>-30</v>
      </c>
      <c r="H2" s="104">
        <v>-25</v>
      </c>
      <c r="I2" s="104">
        <v>-20</v>
      </c>
      <c r="J2" s="104">
        <v>-15</v>
      </c>
      <c r="K2" s="104">
        <v>-10</v>
      </c>
      <c r="L2" s="104">
        <v>-5</v>
      </c>
      <c r="M2" s="104">
        <v>0</v>
      </c>
    </row>
    <row r="3" spans="1:13" ht="22.5" customHeight="1" x14ac:dyDescent="0.25">
      <c r="A3" s="104" t="s">
        <v>7</v>
      </c>
      <c r="B3" s="104">
        <v>4</v>
      </c>
      <c r="C3" s="109" t="s">
        <v>276</v>
      </c>
      <c r="D3" s="104">
        <v>4</v>
      </c>
      <c r="E3" s="104">
        <v>5</v>
      </c>
      <c r="F3" s="104">
        <v>6</v>
      </c>
      <c r="G3" s="104">
        <v>7</v>
      </c>
      <c r="H3" s="104">
        <v>8</v>
      </c>
      <c r="I3" s="104">
        <v>9</v>
      </c>
      <c r="J3" s="104">
        <v>10</v>
      </c>
      <c r="K3" s="104">
        <v>11</v>
      </c>
      <c r="L3" s="104">
        <v>12</v>
      </c>
      <c r="M3" s="104">
        <v>13</v>
      </c>
    </row>
    <row r="4" spans="1:13" ht="22.5" customHeight="1" x14ac:dyDescent="0.25">
      <c r="A4" s="104" t="s">
        <v>8</v>
      </c>
      <c r="B4" s="104">
        <v>0</v>
      </c>
      <c r="C4" s="109" t="s">
        <v>276</v>
      </c>
      <c r="D4" s="104">
        <v>0</v>
      </c>
      <c r="E4" s="104">
        <v>0</v>
      </c>
      <c r="F4" s="104">
        <v>-1</v>
      </c>
      <c r="G4" s="104">
        <v>-1</v>
      </c>
      <c r="H4" s="104">
        <v>-2</v>
      </c>
      <c r="I4" s="104">
        <v>-2</v>
      </c>
      <c r="J4" s="104">
        <v>-3</v>
      </c>
      <c r="K4" s="104">
        <v>-3</v>
      </c>
      <c r="L4" s="104">
        <v>-4</v>
      </c>
      <c r="M4" s="104">
        <v>-4</v>
      </c>
    </row>
    <row r="5" spans="1:13" ht="22.5" customHeight="1" x14ac:dyDescent="0.25">
      <c r="A5" s="104" t="s">
        <v>9</v>
      </c>
      <c r="B5" s="104">
        <v>0</v>
      </c>
      <c r="C5" s="109" t="s">
        <v>276</v>
      </c>
      <c r="D5" s="104">
        <v>0</v>
      </c>
      <c r="E5" s="104">
        <v>-1</v>
      </c>
      <c r="F5" s="104">
        <v>-2</v>
      </c>
      <c r="G5" s="104">
        <v>-3</v>
      </c>
      <c r="H5" s="104">
        <v>-4</v>
      </c>
      <c r="I5" s="104">
        <v>-5</v>
      </c>
      <c r="J5" s="104">
        <v>-6</v>
      </c>
      <c r="K5" s="104">
        <v>-7</v>
      </c>
      <c r="L5" s="104">
        <v>-8</v>
      </c>
      <c r="M5" s="104">
        <v>-9</v>
      </c>
    </row>
    <row r="6" spans="1:13" ht="22.5" customHeight="1" x14ac:dyDescent="0.25">
      <c r="A6" s="104" t="s">
        <v>12</v>
      </c>
      <c r="B6" s="104">
        <v>3</v>
      </c>
      <c r="C6" s="109" t="s">
        <v>291</v>
      </c>
      <c r="D6" s="104">
        <v>2</v>
      </c>
      <c r="E6" s="104">
        <v>3</v>
      </c>
      <c r="F6" s="104">
        <v>3</v>
      </c>
      <c r="G6" s="104">
        <v>4</v>
      </c>
      <c r="H6" s="104">
        <v>4</v>
      </c>
      <c r="I6" s="104">
        <v>5</v>
      </c>
      <c r="J6" s="104">
        <v>5</v>
      </c>
      <c r="K6" s="104">
        <v>6</v>
      </c>
      <c r="L6" s="104">
        <v>6</v>
      </c>
      <c r="M6" s="104">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3" t="s">
        <v>292</v>
      </c>
      <c r="B1" s="117" t="s">
        <v>317</v>
      </c>
      <c r="C1" s="123" t="s">
        <v>312</v>
      </c>
      <c r="D1" s="123" t="s">
        <v>313</v>
      </c>
      <c r="E1" s="123" t="s">
        <v>314</v>
      </c>
      <c r="F1" s="123" t="s">
        <v>315</v>
      </c>
      <c r="G1" s="123" t="s">
        <v>316</v>
      </c>
      <c r="H1" s="121" t="s">
        <v>293</v>
      </c>
      <c r="I1" s="121" t="s">
        <v>294</v>
      </c>
      <c r="J1" s="121" t="s">
        <v>295</v>
      </c>
      <c r="K1" s="121" t="s">
        <v>67</v>
      </c>
      <c r="L1" s="121" t="s">
        <v>296</v>
      </c>
    </row>
    <row r="2" spans="1:12" ht="22.5" customHeight="1" x14ac:dyDescent="0.25">
      <c r="A2" s="104">
        <v>0</v>
      </c>
      <c r="B2" s="104">
        <v>200</v>
      </c>
      <c r="C2" s="104">
        <v>40</v>
      </c>
      <c r="D2" s="104">
        <v>10</v>
      </c>
      <c r="E2" s="104">
        <v>10</v>
      </c>
      <c r="F2" s="104">
        <v>0</v>
      </c>
      <c r="G2" s="104">
        <v>0</v>
      </c>
      <c r="H2" s="104">
        <f>Table6[[#This Row],[Gas Real]]*years_per_round</f>
        <v>200</v>
      </c>
      <c r="I2" s="104">
        <f>Table6[[#This Row],[Biomasse Real]]*years_per_round</f>
        <v>50</v>
      </c>
      <c r="J2" s="104">
        <f>Table6[[#This Row],[Fernwärme Real]]*years_per_round</f>
        <v>50</v>
      </c>
      <c r="K2" s="104">
        <f>Table6[[#This Row],[Grünes Gas Real]]*years_per_round</f>
        <v>0</v>
      </c>
      <c r="L2" s="104">
        <f>Table6[[#This Row],[Wärmepumpe Real]]*years_per_round</f>
        <v>0</v>
      </c>
    </row>
    <row r="3" spans="1:12" ht="22.5" customHeight="1" x14ac:dyDescent="0.25">
      <c r="A3" s="104">
        <v>1</v>
      </c>
      <c r="B3" s="104">
        <v>180</v>
      </c>
      <c r="C3" s="104">
        <v>36</v>
      </c>
      <c r="D3" s="104">
        <v>9</v>
      </c>
      <c r="E3" s="104">
        <v>9</v>
      </c>
      <c r="F3" s="104">
        <v>0</v>
      </c>
      <c r="G3" s="104">
        <v>0</v>
      </c>
      <c r="H3" s="104">
        <f>Table6[[#This Row],[Gas Real]]*years_per_round</f>
        <v>180</v>
      </c>
      <c r="I3" s="104">
        <f>Table6[[#This Row],[Biomasse Real]]*years_per_round</f>
        <v>45</v>
      </c>
      <c r="J3" s="104">
        <f>Table6[[#This Row],[Fernwärme Real]]*years_per_round</f>
        <v>45</v>
      </c>
      <c r="K3" s="104">
        <f>Table6[[#This Row],[Grünes Gas Real]]*years_per_round</f>
        <v>0</v>
      </c>
      <c r="L3" s="104">
        <f>Table6[[#This Row],[Wärmepumpe Real]]*years_per_round</f>
        <v>0</v>
      </c>
    </row>
    <row r="4" spans="1:12" ht="22.5" customHeight="1" x14ac:dyDescent="0.25">
      <c r="A4" s="104">
        <v>2</v>
      </c>
      <c r="B4" s="104">
        <v>160</v>
      </c>
      <c r="C4" s="104">
        <v>32</v>
      </c>
      <c r="D4" s="104">
        <v>8</v>
      </c>
      <c r="E4" s="104">
        <v>8</v>
      </c>
      <c r="F4" s="104">
        <v>0</v>
      </c>
      <c r="G4" s="104">
        <v>0</v>
      </c>
      <c r="H4" s="104">
        <f>Table6[[#This Row],[Gas Real]]*years_per_round</f>
        <v>160</v>
      </c>
      <c r="I4" s="104">
        <f>Table6[[#This Row],[Biomasse Real]]*years_per_round</f>
        <v>40</v>
      </c>
      <c r="J4" s="104">
        <f>Table6[[#This Row],[Fernwärme Real]]*years_per_round</f>
        <v>40</v>
      </c>
      <c r="K4" s="104">
        <f>Table6[[#This Row],[Grünes Gas Real]]*years_per_round</f>
        <v>0</v>
      </c>
      <c r="L4" s="104">
        <f>Table6[[#This Row],[Wärmepumpe Real]]*years_per_round</f>
        <v>0</v>
      </c>
    </row>
    <row r="5" spans="1:12" ht="22.5" customHeight="1" x14ac:dyDescent="0.25">
      <c r="A5" s="104">
        <v>3</v>
      </c>
      <c r="B5" s="104">
        <v>140</v>
      </c>
      <c r="C5" s="104">
        <v>28</v>
      </c>
      <c r="D5" s="104">
        <v>7</v>
      </c>
      <c r="E5" s="104">
        <v>7</v>
      </c>
      <c r="F5" s="104">
        <v>0</v>
      </c>
      <c r="G5" s="104">
        <v>0</v>
      </c>
      <c r="H5" s="104">
        <f>Table6[[#This Row],[Gas Real]]*years_per_round</f>
        <v>140</v>
      </c>
      <c r="I5" s="104">
        <f>Table6[[#This Row],[Biomasse Real]]*years_per_round</f>
        <v>35</v>
      </c>
      <c r="J5" s="104">
        <f>Table6[[#This Row],[Fernwärme Real]]*years_per_round</f>
        <v>35</v>
      </c>
      <c r="K5" s="104">
        <f>Table6[[#This Row],[Grünes Gas Real]]*years_per_round</f>
        <v>0</v>
      </c>
      <c r="L5" s="104">
        <f>Table6[[#This Row],[Wärmepumpe Real]]*years_per_round</f>
        <v>0</v>
      </c>
    </row>
    <row r="6" spans="1:12" ht="22.5" customHeight="1" x14ac:dyDescent="0.25">
      <c r="A6" s="104">
        <v>4</v>
      </c>
      <c r="B6" s="104">
        <v>120</v>
      </c>
      <c r="C6" s="104">
        <v>24</v>
      </c>
      <c r="D6" s="104">
        <v>6</v>
      </c>
      <c r="E6" s="104">
        <v>6</v>
      </c>
      <c r="F6" s="104">
        <v>0</v>
      </c>
      <c r="G6" s="104">
        <v>0</v>
      </c>
      <c r="H6" s="104">
        <f>Table6[[#This Row],[Gas Real]]*years_per_round</f>
        <v>120</v>
      </c>
      <c r="I6" s="104">
        <f>Table6[[#This Row],[Biomasse Real]]*years_per_round</f>
        <v>30</v>
      </c>
      <c r="J6" s="104">
        <f>Table6[[#This Row],[Fernwärme Real]]*years_per_round</f>
        <v>30</v>
      </c>
      <c r="K6" s="104">
        <f>Table6[[#This Row],[Grünes Gas Real]]*years_per_round</f>
        <v>0</v>
      </c>
      <c r="L6" s="104">
        <f>Table6[[#This Row],[Wärmepumpe Real]]*years_per_round</f>
        <v>0</v>
      </c>
    </row>
    <row r="7" spans="1:12" ht="22.5" customHeight="1" x14ac:dyDescent="0.25">
      <c r="A7" s="104">
        <v>5</v>
      </c>
      <c r="B7" s="104">
        <v>100</v>
      </c>
      <c r="C7" s="104">
        <v>20</v>
      </c>
      <c r="D7" s="104">
        <v>5</v>
      </c>
      <c r="E7" s="104">
        <v>5</v>
      </c>
      <c r="F7" s="104">
        <v>0</v>
      </c>
      <c r="G7" s="104">
        <v>0</v>
      </c>
      <c r="H7" s="104">
        <f>Table6[[#This Row],[Gas Real]]*years_per_round</f>
        <v>100</v>
      </c>
      <c r="I7" s="104">
        <f>Table6[[#This Row],[Biomasse Real]]*years_per_round</f>
        <v>25</v>
      </c>
      <c r="J7" s="104">
        <f>Table6[[#This Row],[Fernwärme Real]]*years_per_round</f>
        <v>25</v>
      </c>
      <c r="K7" s="104">
        <f>Table6[[#This Row],[Grünes Gas Real]]*years_per_round</f>
        <v>0</v>
      </c>
      <c r="L7" s="104">
        <f>Table6[[#This Row],[Wärmepumpe Real]]*years_per_round</f>
        <v>0</v>
      </c>
    </row>
    <row r="8" spans="1:12" ht="22.5" customHeight="1" x14ac:dyDescent="0.25">
      <c r="A8" s="104">
        <v>6</v>
      </c>
      <c r="B8" s="104">
        <v>80</v>
      </c>
      <c r="C8" s="104">
        <v>16</v>
      </c>
      <c r="D8" s="104">
        <v>4</v>
      </c>
      <c r="E8" s="104">
        <v>4</v>
      </c>
      <c r="F8" s="104">
        <v>0</v>
      </c>
      <c r="G8" s="104">
        <v>0</v>
      </c>
      <c r="H8" s="104">
        <f>Table6[[#This Row],[Gas Real]]*years_per_round</f>
        <v>80</v>
      </c>
      <c r="I8" s="104">
        <f>Table6[[#This Row],[Biomasse Real]]*years_per_round</f>
        <v>20</v>
      </c>
      <c r="J8" s="104">
        <f>Table6[[#This Row],[Fernwärme Real]]*years_per_round</f>
        <v>20</v>
      </c>
      <c r="K8" s="104">
        <f>Table6[[#This Row],[Grünes Gas Real]]*years_per_round</f>
        <v>0</v>
      </c>
      <c r="L8" s="104">
        <f>Table6[[#This Row],[Wärmepumpe Real]]*years_per_round</f>
        <v>0</v>
      </c>
    </row>
    <row r="9" spans="1:12" ht="22.5" customHeight="1" x14ac:dyDescent="0.25">
      <c r="A9" s="104">
        <v>7</v>
      </c>
      <c r="B9" s="104">
        <v>60</v>
      </c>
      <c r="C9" s="104">
        <v>12</v>
      </c>
      <c r="D9" s="104">
        <v>3</v>
      </c>
      <c r="E9" s="104">
        <v>3</v>
      </c>
      <c r="F9" s="104">
        <v>0</v>
      </c>
      <c r="G9" s="104">
        <v>0</v>
      </c>
      <c r="H9" s="104">
        <f>Table6[[#This Row],[Gas Real]]*years_per_round</f>
        <v>60</v>
      </c>
      <c r="I9" s="104">
        <f>Table6[[#This Row],[Biomasse Real]]*years_per_round</f>
        <v>15</v>
      </c>
      <c r="J9" s="104">
        <f>Table6[[#This Row],[Fernwärme Real]]*years_per_round</f>
        <v>15</v>
      </c>
      <c r="K9" s="104">
        <f>Table6[[#This Row],[Grünes Gas Real]]*years_per_round</f>
        <v>0</v>
      </c>
      <c r="L9" s="104">
        <f>Table6[[#This Row],[Wärmepumpe Real]]*years_per_round</f>
        <v>0</v>
      </c>
    </row>
    <row r="10" spans="1:12" ht="22.5" customHeight="1" x14ac:dyDescent="0.25">
      <c r="A10" s="104">
        <v>8</v>
      </c>
      <c r="B10" s="104">
        <v>40</v>
      </c>
      <c r="C10" s="104">
        <v>8</v>
      </c>
      <c r="D10" s="104">
        <v>2</v>
      </c>
      <c r="E10" s="104">
        <v>2</v>
      </c>
      <c r="F10" s="104">
        <v>0</v>
      </c>
      <c r="G10" s="104">
        <v>0</v>
      </c>
      <c r="H10" s="104">
        <f>Table6[[#This Row],[Gas Real]]*years_per_round</f>
        <v>40</v>
      </c>
      <c r="I10" s="104">
        <f>Table6[[#This Row],[Biomasse Real]]*years_per_round</f>
        <v>10</v>
      </c>
      <c r="J10" s="104">
        <f>Table6[[#This Row],[Fernwärme Real]]*years_per_round</f>
        <v>10</v>
      </c>
      <c r="K10" s="104">
        <f>Table6[[#This Row],[Grünes Gas Real]]*years_per_round</f>
        <v>0</v>
      </c>
      <c r="L10" s="104">
        <f>Table6[[#This Row],[Wärmepumpe Real]]*years_per_round</f>
        <v>0</v>
      </c>
    </row>
    <row r="11" spans="1:12" ht="22.5" customHeight="1" x14ac:dyDescent="0.25">
      <c r="A11" s="104">
        <v>9</v>
      </c>
      <c r="B11" s="104">
        <v>20</v>
      </c>
      <c r="C11" s="104">
        <v>4</v>
      </c>
      <c r="D11" s="104">
        <v>1</v>
      </c>
      <c r="E11" s="104">
        <v>1</v>
      </c>
      <c r="F11" s="104">
        <v>0</v>
      </c>
      <c r="G11" s="104">
        <v>0</v>
      </c>
      <c r="H11" s="104">
        <f>Table6[[#This Row],[Gas Real]]*years_per_round</f>
        <v>20</v>
      </c>
      <c r="I11" s="104">
        <f>Table6[[#This Row],[Biomasse Real]]*years_per_round</f>
        <v>5</v>
      </c>
      <c r="J11" s="104">
        <f>Table6[[#This Row],[Fernwärme Real]]*years_per_round</f>
        <v>5</v>
      </c>
      <c r="K11" s="104">
        <f>Table6[[#This Row],[Grünes Gas Real]]*years_per_round</f>
        <v>0</v>
      </c>
      <c r="L11" s="104">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3" t="s">
        <v>292</v>
      </c>
      <c r="B1" s="103" t="s">
        <v>317</v>
      </c>
      <c r="C1" s="127" t="s">
        <v>312</v>
      </c>
      <c r="D1" s="127" t="s">
        <v>313</v>
      </c>
      <c r="E1" s="127" t="s">
        <v>314</v>
      </c>
      <c r="F1" s="127" t="s">
        <v>315</v>
      </c>
      <c r="G1" s="127" t="s">
        <v>316</v>
      </c>
      <c r="H1" s="121" t="s">
        <v>293</v>
      </c>
      <c r="I1" s="121" t="s">
        <v>294</v>
      </c>
      <c r="J1" s="121" t="s">
        <v>295</v>
      </c>
      <c r="K1" s="121" t="s">
        <v>67</v>
      </c>
      <c r="L1" s="121" t="s">
        <v>296</v>
      </c>
    </row>
    <row r="2" spans="1:12" ht="22.5" customHeight="1" x14ac:dyDescent="0.25">
      <c r="A2" s="104">
        <v>0</v>
      </c>
      <c r="B2" s="104">
        <v>200</v>
      </c>
      <c r="C2" s="105">
        <f>Table6_2[[#This Row],[HWB]]*'Mapping RealwerteSpielwerte'!$B$23</f>
        <v>20</v>
      </c>
      <c r="D2" s="105">
        <f>Table6_2[[#This Row],[HWB]]*'Mapping RealwerteSpielwerte'!$B$24</f>
        <v>16</v>
      </c>
      <c r="E2" s="105">
        <f>Table6_2[[#This Row],[HWB]]*'Mapping RealwerteSpielwerte'!$B$25</f>
        <v>40</v>
      </c>
      <c r="F2" s="105">
        <f>Table6_2[[#This Row],[HWB]]*'Mapping RealwerteSpielwerte'!$B$26</f>
        <v>100</v>
      </c>
      <c r="G2" s="104">
        <f>0</f>
        <v>0</v>
      </c>
      <c r="H2" s="110">
        <f>-Table6_2[[#This Row],[Gas Real]]*'Mapping RealwerteSpielwerte'!$C$23+heizkosten_baseline</f>
        <v>-2</v>
      </c>
      <c r="I2" s="110">
        <f>-Table6_2[[#This Row],[Biomasse Real]]*'Mapping RealwerteSpielwerte'!$C$24+heizkosten_baseline</f>
        <v>-1.2000000000000002</v>
      </c>
      <c r="J2" s="110">
        <f>-Table6_2[[#This Row],[Fernwärme Real]]*'Mapping RealwerteSpielwerte'!$C$25+heizkosten_baseline</f>
        <v>-6</v>
      </c>
      <c r="K2" s="110">
        <f>-Table6_2[[#This Row],[Grünes Gas Real]]*'Mapping RealwerteSpielwerte'!$C$26+heizkosten_baseline</f>
        <v>-18</v>
      </c>
      <c r="L2" s="110">
        <f>-Table6_2[[#This Row],[Wärmepumpe Real]]*'Mapping RealwerteSpielwerte'!$C$27+heizkosten_baseline</f>
        <v>2</v>
      </c>
    </row>
    <row r="3" spans="1:12" ht="22.5" customHeight="1" x14ac:dyDescent="0.25">
      <c r="A3" s="104">
        <v>1</v>
      </c>
      <c r="B3" s="104">
        <v>180</v>
      </c>
      <c r="C3" s="105">
        <f>Table6_2[[#This Row],[HWB]]*'Mapping RealwerteSpielwerte'!$B$23</f>
        <v>18</v>
      </c>
      <c r="D3" s="105">
        <f>Table6_2[[#This Row],[HWB]]*'Mapping RealwerteSpielwerte'!$B$24</f>
        <v>14.4</v>
      </c>
      <c r="E3" s="105">
        <f>Table6_2[[#This Row],[HWB]]*'Mapping RealwerteSpielwerte'!$B$25</f>
        <v>36</v>
      </c>
      <c r="F3" s="105">
        <f>Table6_2[[#This Row],[HWB]]*'Mapping RealwerteSpielwerte'!$B$26</f>
        <v>90</v>
      </c>
      <c r="G3" s="104">
        <f>0</f>
        <v>0</v>
      </c>
      <c r="H3" s="110">
        <f>-Table6_2[[#This Row],[Gas Real]]*'Mapping RealwerteSpielwerte'!$C$23+heizkosten_baseline</f>
        <v>-1.6</v>
      </c>
      <c r="I3" s="110">
        <f>-Table6_2[[#This Row],[Biomasse Real]]*'Mapping RealwerteSpielwerte'!$C$24+heizkosten_baseline</f>
        <v>-0.88000000000000034</v>
      </c>
      <c r="J3" s="110">
        <f>-Table6_2[[#This Row],[Fernwärme Real]]*'Mapping RealwerteSpielwerte'!$C$25+heizkosten_baseline</f>
        <v>-5.2</v>
      </c>
      <c r="K3" s="110">
        <f>-Table6_2[[#This Row],[Grünes Gas Real]]*'Mapping RealwerteSpielwerte'!$C$26+heizkosten_baseline</f>
        <v>-16</v>
      </c>
      <c r="L3" s="110">
        <f>-Table6_2[[#This Row],[Wärmepumpe Real]]*'Mapping RealwerteSpielwerte'!$C$27+heizkosten_baseline</f>
        <v>2</v>
      </c>
    </row>
    <row r="4" spans="1:12" ht="22.5" customHeight="1" x14ac:dyDescent="0.25">
      <c r="A4" s="104">
        <v>2</v>
      </c>
      <c r="B4" s="104">
        <v>160</v>
      </c>
      <c r="C4" s="105">
        <f>Table6_2[[#This Row],[HWB]]*'Mapping RealwerteSpielwerte'!$B$23</f>
        <v>16</v>
      </c>
      <c r="D4" s="105">
        <f>Table6_2[[#This Row],[HWB]]*'Mapping RealwerteSpielwerte'!$B$24</f>
        <v>12.8</v>
      </c>
      <c r="E4" s="105">
        <f>Table6_2[[#This Row],[HWB]]*'Mapping RealwerteSpielwerte'!$B$25</f>
        <v>32</v>
      </c>
      <c r="F4" s="105">
        <f>Table6_2[[#This Row],[HWB]]*'Mapping RealwerteSpielwerte'!$B$26</f>
        <v>80</v>
      </c>
      <c r="G4" s="104">
        <f>0</f>
        <v>0</v>
      </c>
      <c r="H4" s="110">
        <f>-Table6_2[[#This Row],[Gas Real]]*'Mapping RealwerteSpielwerte'!$C$23+heizkosten_baseline</f>
        <v>-1.2000000000000002</v>
      </c>
      <c r="I4" s="110">
        <f>-Table6_2[[#This Row],[Biomasse Real]]*'Mapping RealwerteSpielwerte'!$C$24+heizkosten_baseline</f>
        <v>-0.5600000000000005</v>
      </c>
      <c r="J4" s="110">
        <f>-Table6_2[[#This Row],[Fernwärme Real]]*'Mapping RealwerteSpielwerte'!$C$25+heizkosten_baseline</f>
        <v>-4.4000000000000004</v>
      </c>
      <c r="K4" s="110">
        <f>-Table6_2[[#This Row],[Grünes Gas Real]]*'Mapping RealwerteSpielwerte'!$C$26+heizkosten_baseline</f>
        <v>-14</v>
      </c>
      <c r="L4" s="110">
        <f>-Table6_2[[#This Row],[Wärmepumpe Real]]*'Mapping RealwerteSpielwerte'!$C$27+heizkosten_baseline</f>
        <v>2</v>
      </c>
    </row>
    <row r="5" spans="1:12" ht="22.5" customHeight="1" x14ac:dyDescent="0.25">
      <c r="A5" s="104">
        <v>3</v>
      </c>
      <c r="B5" s="104">
        <v>140</v>
      </c>
      <c r="C5" s="105">
        <f>Table6_2[[#This Row],[HWB]]*'Mapping RealwerteSpielwerte'!$B$23</f>
        <v>14</v>
      </c>
      <c r="D5" s="105">
        <f>Table6_2[[#This Row],[HWB]]*'Mapping RealwerteSpielwerte'!$B$24</f>
        <v>11.200000000000001</v>
      </c>
      <c r="E5" s="105">
        <f>Table6_2[[#This Row],[HWB]]*'Mapping RealwerteSpielwerte'!$B$25</f>
        <v>28</v>
      </c>
      <c r="F5" s="105">
        <f>Table6_2[[#This Row],[HWB]]*'Mapping RealwerteSpielwerte'!$B$26</f>
        <v>70</v>
      </c>
      <c r="G5" s="104">
        <f>0</f>
        <v>0</v>
      </c>
      <c r="H5" s="110">
        <f>-Table6_2[[#This Row],[Gas Real]]*'Mapping RealwerteSpielwerte'!$C$23+heizkosten_baseline</f>
        <v>-0.80000000000000027</v>
      </c>
      <c r="I5" s="110">
        <f>-Table6_2[[#This Row],[Biomasse Real]]*'Mapping RealwerteSpielwerte'!$C$24+heizkosten_baseline</f>
        <v>-0.24000000000000021</v>
      </c>
      <c r="J5" s="110">
        <f>-Table6_2[[#This Row],[Fernwärme Real]]*'Mapping RealwerteSpielwerte'!$C$25+heizkosten_baseline</f>
        <v>-3.6000000000000005</v>
      </c>
      <c r="K5" s="110">
        <f>-Table6_2[[#This Row],[Grünes Gas Real]]*'Mapping RealwerteSpielwerte'!$C$26+heizkosten_baseline</f>
        <v>-12</v>
      </c>
      <c r="L5" s="110">
        <f>-Table6_2[[#This Row],[Wärmepumpe Real]]*'Mapping RealwerteSpielwerte'!$C$27+heizkosten_baseline</f>
        <v>2</v>
      </c>
    </row>
    <row r="6" spans="1:12" ht="22.5" customHeight="1" x14ac:dyDescent="0.25">
      <c r="A6" s="104">
        <v>4</v>
      </c>
      <c r="B6" s="104">
        <v>120</v>
      </c>
      <c r="C6" s="105">
        <f>Table6_2[[#This Row],[HWB]]*'Mapping RealwerteSpielwerte'!$B$23</f>
        <v>12</v>
      </c>
      <c r="D6" s="105">
        <f>Table6_2[[#This Row],[HWB]]*'Mapping RealwerteSpielwerte'!$B$24</f>
        <v>9.6</v>
      </c>
      <c r="E6" s="105">
        <f>Table6_2[[#This Row],[HWB]]*'Mapping RealwerteSpielwerte'!$B$25</f>
        <v>24</v>
      </c>
      <c r="F6" s="105">
        <f>Table6_2[[#This Row],[HWB]]*'Mapping RealwerteSpielwerte'!$B$26</f>
        <v>60</v>
      </c>
      <c r="G6" s="104">
        <f>0</f>
        <v>0</v>
      </c>
      <c r="H6" s="110">
        <f>-Table6_2[[#This Row],[Gas Real]]*'Mapping RealwerteSpielwerte'!$C$23+heizkosten_baseline</f>
        <v>-0.40000000000000036</v>
      </c>
      <c r="I6" s="110">
        <f>-Table6_2[[#This Row],[Biomasse Real]]*'Mapping RealwerteSpielwerte'!$C$24+heizkosten_baseline</f>
        <v>8.0000000000000071E-2</v>
      </c>
      <c r="J6" s="110">
        <f>-Table6_2[[#This Row],[Fernwärme Real]]*'Mapping RealwerteSpielwerte'!$C$25+heizkosten_baseline</f>
        <v>-2.8000000000000007</v>
      </c>
      <c r="K6" s="110">
        <f>-Table6_2[[#This Row],[Grünes Gas Real]]*'Mapping RealwerteSpielwerte'!$C$26+heizkosten_baseline</f>
        <v>-10</v>
      </c>
      <c r="L6" s="110">
        <f>-Table6_2[[#This Row],[Wärmepumpe Real]]*'Mapping RealwerteSpielwerte'!$C$27+heizkosten_baseline</f>
        <v>2</v>
      </c>
    </row>
    <row r="7" spans="1:12" ht="22.5" customHeight="1" x14ac:dyDescent="0.25">
      <c r="A7" s="104">
        <v>5</v>
      </c>
      <c r="B7" s="104">
        <v>100</v>
      </c>
      <c r="C7" s="105">
        <f>Table6_2[[#This Row],[HWB]]*'Mapping RealwerteSpielwerte'!$B$23</f>
        <v>10</v>
      </c>
      <c r="D7" s="105">
        <f>Table6_2[[#This Row],[HWB]]*'Mapping RealwerteSpielwerte'!$B$24</f>
        <v>8</v>
      </c>
      <c r="E7" s="105">
        <f>Table6_2[[#This Row],[HWB]]*'Mapping RealwerteSpielwerte'!$B$25</f>
        <v>20</v>
      </c>
      <c r="F7" s="105">
        <f>Table6_2[[#This Row],[HWB]]*'Mapping RealwerteSpielwerte'!$B$26</f>
        <v>50</v>
      </c>
      <c r="G7" s="104">
        <f>0</f>
        <v>0</v>
      </c>
      <c r="H7" s="110">
        <f>-Table6_2[[#This Row],[Gas Real]]*'Mapping RealwerteSpielwerte'!$C$23+heizkosten_baseline</f>
        <v>0</v>
      </c>
      <c r="I7" s="110">
        <f>-Table6_2[[#This Row],[Biomasse Real]]*'Mapping RealwerteSpielwerte'!$C$24+heizkosten_baseline</f>
        <v>0.39999999999999991</v>
      </c>
      <c r="J7" s="110">
        <f>-Table6_2[[#This Row],[Fernwärme Real]]*'Mapping RealwerteSpielwerte'!$C$25+heizkosten_baseline</f>
        <v>-2</v>
      </c>
      <c r="K7" s="110">
        <f>-Table6_2[[#This Row],[Grünes Gas Real]]*'Mapping RealwerteSpielwerte'!$C$26+heizkosten_baseline</f>
        <v>-8</v>
      </c>
      <c r="L7" s="110">
        <f>-Table6_2[[#This Row],[Wärmepumpe Real]]*'Mapping RealwerteSpielwerte'!$C$27+heizkosten_baseline</f>
        <v>2</v>
      </c>
    </row>
    <row r="8" spans="1:12" ht="22.5" customHeight="1" x14ac:dyDescent="0.25">
      <c r="A8" s="104">
        <v>6</v>
      </c>
      <c r="B8" s="104">
        <v>80</v>
      </c>
      <c r="C8" s="105">
        <f>Table6_2[[#This Row],[HWB]]*'Mapping RealwerteSpielwerte'!$B$23</f>
        <v>8</v>
      </c>
      <c r="D8" s="105">
        <f>Table6_2[[#This Row],[HWB]]*'Mapping RealwerteSpielwerte'!$B$24</f>
        <v>6.4</v>
      </c>
      <c r="E8" s="105">
        <f>Table6_2[[#This Row],[HWB]]*'Mapping RealwerteSpielwerte'!$B$25</f>
        <v>16</v>
      </c>
      <c r="F8" s="105">
        <f>Table6_2[[#This Row],[HWB]]*'Mapping RealwerteSpielwerte'!$B$26</f>
        <v>40</v>
      </c>
      <c r="G8" s="104">
        <f>0</f>
        <v>0</v>
      </c>
      <c r="H8" s="110">
        <f>-Table6_2[[#This Row],[Gas Real]]*'Mapping RealwerteSpielwerte'!$C$23+heizkosten_baseline</f>
        <v>0.39999999999999991</v>
      </c>
      <c r="I8" s="110">
        <f>-Table6_2[[#This Row],[Biomasse Real]]*'Mapping RealwerteSpielwerte'!$C$24+heizkosten_baseline</f>
        <v>0.71999999999999975</v>
      </c>
      <c r="J8" s="110">
        <f>-Table6_2[[#This Row],[Fernwärme Real]]*'Mapping RealwerteSpielwerte'!$C$25+heizkosten_baseline</f>
        <v>-1.2000000000000002</v>
      </c>
      <c r="K8" s="110">
        <f>-Table6_2[[#This Row],[Grünes Gas Real]]*'Mapping RealwerteSpielwerte'!$C$26+heizkosten_baseline</f>
        <v>-6</v>
      </c>
      <c r="L8" s="110">
        <f>-Table6_2[[#This Row],[Wärmepumpe Real]]*'Mapping RealwerteSpielwerte'!$C$27+heizkosten_baseline</f>
        <v>2</v>
      </c>
    </row>
    <row r="9" spans="1:12" ht="22.5" customHeight="1" x14ac:dyDescent="0.25">
      <c r="A9" s="104">
        <v>7</v>
      </c>
      <c r="B9" s="104">
        <v>60</v>
      </c>
      <c r="C9" s="105">
        <f>Table6_2[[#This Row],[HWB]]*'Mapping RealwerteSpielwerte'!$B$23</f>
        <v>6</v>
      </c>
      <c r="D9" s="105">
        <f>Table6_2[[#This Row],[HWB]]*'Mapping RealwerteSpielwerte'!$B$24</f>
        <v>4.8</v>
      </c>
      <c r="E9" s="105">
        <f>Table6_2[[#This Row],[HWB]]*'Mapping RealwerteSpielwerte'!$B$25</f>
        <v>12</v>
      </c>
      <c r="F9" s="105">
        <f>Table6_2[[#This Row],[HWB]]*'Mapping RealwerteSpielwerte'!$B$26</f>
        <v>30</v>
      </c>
      <c r="G9" s="104">
        <f>0</f>
        <v>0</v>
      </c>
      <c r="H9" s="110">
        <f>-Table6_2[[#This Row],[Gas Real]]*'Mapping RealwerteSpielwerte'!$C$23+heizkosten_baseline</f>
        <v>0.79999999999999982</v>
      </c>
      <c r="I9" s="110">
        <f>-Table6_2[[#This Row],[Biomasse Real]]*'Mapping RealwerteSpielwerte'!$C$24+heizkosten_baseline</f>
        <v>1.04</v>
      </c>
      <c r="J9" s="110">
        <f>-Table6_2[[#This Row],[Fernwärme Real]]*'Mapping RealwerteSpielwerte'!$C$25+heizkosten_baseline</f>
        <v>-0.40000000000000036</v>
      </c>
      <c r="K9" s="110">
        <f>-Table6_2[[#This Row],[Grünes Gas Real]]*'Mapping RealwerteSpielwerte'!$C$26+heizkosten_baseline</f>
        <v>-4</v>
      </c>
      <c r="L9" s="110">
        <f>-Table6_2[[#This Row],[Wärmepumpe Real]]*'Mapping RealwerteSpielwerte'!$C$27+heizkosten_baseline</f>
        <v>2</v>
      </c>
    </row>
    <row r="10" spans="1:12" ht="22.5" customHeight="1" x14ac:dyDescent="0.25">
      <c r="A10" s="104">
        <v>8</v>
      </c>
      <c r="B10" s="104">
        <v>40</v>
      </c>
      <c r="C10" s="105">
        <f>Table6_2[[#This Row],[HWB]]*'Mapping RealwerteSpielwerte'!$B$23</f>
        <v>4</v>
      </c>
      <c r="D10" s="105">
        <f>Table6_2[[#This Row],[HWB]]*'Mapping RealwerteSpielwerte'!$B$24</f>
        <v>3.2</v>
      </c>
      <c r="E10" s="105">
        <f>Table6_2[[#This Row],[HWB]]*'Mapping RealwerteSpielwerte'!$B$25</f>
        <v>8</v>
      </c>
      <c r="F10" s="105">
        <f>Table6_2[[#This Row],[HWB]]*'Mapping RealwerteSpielwerte'!$B$26</f>
        <v>20</v>
      </c>
      <c r="G10" s="104">
        <f>0</f>
        <v>0</v>
      </c>
      <c r="H10" s="110">
        <f>-Table6_2[[#This Row],[Gas Real]]*'Mapping RealwerteSpielwerte'!$C$23+heizkosten_baseline</f>
        <v>1.2</v>
      </c>
      <c r="I10" s="110">
        <f>-Table6_2[[#This Row],[Biomasse Real]]*'Mapping RealwerteSpielwerte'!$C$24+heizkosten_baseline</f>
        <v>1.3599999999999999</v>
      </c>
      <c r="J10" s="110">
        <f>-Table6_2[[#This Row],[Fernwärme Real]]*'Mapping RealwerteSpielwerte'!$C$25+heizkosten_baseline</f>
        <v>0.39999999999999991</v>
      </c>
      <c r="K10" s="110">
        <f>-Table6_2[[#This Row],[Grünes Gas Real]]*'Mapping RealwerteSpielwerte'!$C$26+heizkosten_baseline</f>
        <v>-2</v>
      </c>
      <c r="L10" s="110">
        <f>-Table6_2[[#This Row],[Wärmepumpe Real]]*'Mapping RealwerteSpielwerte'!$C$27+heizkosten_baseline</f>
        <v>2</v>
      </c>
    </row>
    <row r="11" spans="1:12" ht="22.5" customHeight="1" x14ac:dyDescent="0.25">
      <c r="A11" s="104">
        <v>9</v>
      </c>
      <c r="B11" s="104">
        <v>20</v>
      </c>
      <c r="C11" s="105">
        <f>Table6_2[[#This Row],[HWB]]*'Mapping RealwerteSpielwerte'!$B$23</f>
        <v>2</v>
      </c>
      <c r="D11" s="105">
        <f>Table6_2[[#This Row],[HWB]]*'Mapping RealwerteSpielwerte'!$B$24</f>
        <v>1.6</v>
      </c>
      <c r="E11" s="105">
        <f>Table6_2[[#This Row],[HWB]]*'Mapping RealwerteSpielwerte'!$B$25</f>
        <v>4</v>
      </c>
      <c r="F11" s="105">
        <f>Table6_2[[#This Row],[HWB]]*'Mapping RealwerteSpielwerte'!$B$26</f>
        <v>10</v>
      </c>
      <c r="G11" s="104">
        <f>0</f>
        <v>0</v>
      </c>
      <c r="H11" s="110">
        <f>-Table6_2[[#This Row],[Gas Real]]*'Mapping RealwerteSpielwerte'!$C$23+heizkosten_baseline</f>
        <v>1.6</v>
      </c>
      <c r="I11" s="110">
        <f>-Table6_2[[#This Row],[Biomasse Real]]*'Mapping RealwerteSpielwerte'!$C$24+heizkosten_baseline</f>
        <v>1.68</v>
      </c>
      <c r="J11" s="110">
        <f>-Table6_2[[#This Row],[Fernwärme Real]]*'Mapping RealwerteSpielwerte'!$C$25+heizkosten_baseline</f>
        <v>1.2</v>
      </c>
      <c r="K11" s="110">
        <f>-Table6_2[[#This Row],[Grünes Gas Real]]*'Mapping RealwerteSpielwerte'!$C$26+heizkosten_baseline</f>
        <v>0</v>
      </c>
      <c r="L11" s="110">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D2" sqref="D2"/>
    </sheetView>
  </sheetViews>
  <sheetFormatPr baseColWidth="10" defaultColWidth="12.54296875" defaultRowHeight="15.75" customHeight="1" x14ac:dyDescent="0.25"/>
  <cols>
    <col min="4" max="8" width="13.1796875" customWidth="1"/>
  </cols>
  <sheetData>
    <row r="1" spans="1:8" ht="22.5" customHeight="1" x14ac:dyDescent="0.25">
      <c r="A1" s="103" t="s">
        <v>292</v>
      </c>
      <c r="B1" s="103" t="s">
        <v>317</v>
      </c>
      <c r="C1" s="103" t="s">
        <v>329</v>
      </c>
      <c r="D1" s="103" t="s">
        <v>297</v>
      </c>
      <c r="E1" s="103" t="s">
        <v>298</v>
      </c>
      <c r="F1" s="103" t="s">
        <v>299</v>
      </c>
      <c r="G1" s="103" t="s">
        <v>300</v>
      </c>
      <c r="H1" s="103" t="s">
        <v>301</v>
      </c>
    </row>
    <row r="2" spans="1:8" ht="22.5" customHeight="1" x14ac:dyDescent="0.25">
      <c r="A2" s="104">
        <v>0</v>
      </c>
      <c r="B2" s="104">
        <v>180</v>
      </c>
      <c r="C2" s="133">
        <f>Table7[[#This Row],[HWB]]/real_zu_spiel_strombedarf/COP_0</f>
        <v>36</v>
      </c>
      <c r="D2" s="133">
        <f>Table7[[#This Row],[HWB]]/real_zu_spiel_strombedarf/COP_1</f>
        <v>18</v>
      </c>
      <c r="E2" s="133">
        <f>Table7[[#This Row],[HWB]]/real_zu_spiel_strombedarf/COP_2</f>
        <v>14.4</v>
      </c>
      <c r="F2" s="133">
        <f>Table7[[#This Row],[HWB]]/real_zu_spiel_strombedarf/COP_3</f>
        <v>10.801080108010801</v>
      </c>
      <c r="G2" s="133">
        <f>Table7[[#This Row],[HWB]]/real_zu_spiel_strombedarf/COP_4</f>
        <v>7.9200079200079205</v>
      </c>
      <c r="H2" s="133">
        <f>Table7[[#This Row],[HWB]]/real_zu_spiel_strombedarf/COP_5</f>
        <v>5.4054054054054053</v>
      </c>
    </row>
    <row r="3" spans="1:8" ht="22.5" customHeight="1" x14ac:dyDescent="0.25">
      <c r="A3" s="104">
        <v>1</v>
      </c>
      <c r="B3" s="104">
        <v>160</v>
      </c>
      <c r="C3" s="133">
        <f>Table7[[#This Row],[HWB]]/real_zu_spiel_strombedarf/COP_0</f>
        <v>32</v>
      </c>
      <c r="D3" s="133">
        <f>Table7[[#This Row],[HWB]]/real_zu_spiel_strombedarf/COP_1</f>
        <v>16</v>
      </c>
      <c r="E3" s="133">
        <f>Table7[[#This Row],[HWB]]/real_zu_spiel_strombedarf/COP_2</f>
        <v>12.8</v>
      </c>
      <c r="F3" s="133">
        <f>Table7[[#This Row],[HWB]]/real_zu_spiel_strombedarf/COP_3</f>
        <v>9.6009600960096009</v>
      </c>
      <c r="G3" s="133">
        <f>Table7[[#This Row],[HWB]]/real_zu_spiel_strombedarf/COP_4</f>
        <v>7.0400070400070405</v>
      </c>
      <c r="H3" s="133">
        <f>Table7[[#This Row],[HWB]]/real_zu_spiel_strombedarf/COP_5</f>
        <v>4.8048048048048049</v>
      </c>
    </row>
    <row r="4" spans="1:8" ht="22.5" customHeight="1" x14ac:dyDescent="0.25">
      <c r="A4" s="104">
        <v>2</v>
      </c>
      <c r="B4" s="104">
        <v>140</v>
      </c>
      <c r="C4" s="133">
        <f>Table7[[#This Row],[HWB]]/real_zu_spiel_strombedarf/COP_0</f>
        <v>28</v>
      </c>
      <c r="D4" s="133">
        <f>Table7[[#This Row],[HWB]]/real_zu_spiel_strombedarf/COP_1</f>
        <v>14</v>
      </c>
      <c r="E4" s="133">
        <f>Table7[[#This Row],[HWB]]/real_zu_spiel_strombedarf/COP_2</f>
        <v>11.2</v>
      </c>
      <c r="F4" s="133">
        <f>Table7[[#This Row],[HWB]]/real_zu_spiel_strombedarf/COP_3</f>
        <v>8.4008400840084008</v>
      </c>
      <c r="G4" s="133">
        <f>Table7[[#This Row],[HWB]]/real_zu_spiel_strombedarf/COP_4</f>
        <v>6.1600061600061604</v>
      </c>
      <c r="H4" s="133">
        <f>Table7[[#This Row],[HWB]]/real_zu_spiel_strombedarf/COP_5</f>
        <v>4.2042042042042045</v>
      </c>
    </row>
    <row r="5" spans="1:8" ht="22.5" customHeight="1" x14ac:dyDescent="0.25">
      <c r="A5" s="104">
        <v>3</v>
      </c>
      <c r="B5" s="104">
        <v>120</v>
      </c>
      <c r="C5" s="133">
        <f>Table7[[#This Row],[HWB]]/real_zu_spiel_strombedarf/COP_0</f>
        <v>24</v>
      </c>
      <c r="D5" s="133">
        <f>Table7[[#This Row],[HWB]]/real_zu_spiel_strombedarf/COP_1</f>
        <v>12</v>
      </c>
      <c r="E5" s="133">
        <f>Table7[[#This Row],[HWB]]/real_zu_spiel_strombedarf/COP_2</f>
        <v>9.6</v>
      </c>
      <c r="F5" s="133">
        <f>Table7[[#This Row],[HWB]]/real_zu_spiel_strombedarf/COP_3</f>
        <v>7.2007200720072007</v>
      </c>
      <c r="G5" s="133">
        <f>Table7[[#This Row],[HWB]]/real_zu_spiel_strombedarf/COP_4</f>
        <v>5.2800052800052804</v>
      </c>
      <c r="H5" s="133">
        <f>Table7[[#This Row],[HWB]]/real_zu_spiel_strombedarf/COP_5</f>
        <v>3.6036036036036037</v>
      </c>
    </row>
    <row r="6" spans="1:8" ht="22.5" customHeight="1" x14ac:dyDescent="0.25">
      <c r="A6" s="104">
        <v>4</v>
      </c>
      <c r="B6" s="104">
        <v>100</v>
      </c>
      <c r="C6" s="133">
        <f>Table7[[#This Row],[HWB]]/real_zu_spiel_strombedarf/COP_0</f>
        <v>20</v>
      </c>
      <c r="D6" s="133">
        <f>Table7[[#This Row],[HWB]]/real_zu_spiel_strombedarf/COP_1</f>
        <v>10</v>
      </c>
      <c r="E6" s="133">
        <f>Table7[[#This Row],[HWB]]/real_zu_spiel_strombedarf/COP_2</f>
        <v>8</v>
      </c>
      <c r="F6" s="133">
        <f>Table7[[#This Row],[HWB]]/real_zu_spiel_strombedarf/COP_3</f>
        <v>6.0006000600060005</v>
      </c>
      <c r="G6" s="133">
        <f>Table7[[#This Row],[HWB]]/real_zu_spiel_strombedarf/COP_4</f>
        <v>4.4000044000044003</v>
      </c>
      <c r="H6" s="133">
        <f>Table7[[#This Row],[HWB]]/real_zu_spiel_strombedarf/COP_5</f>
        <v>3.0030030030030028</v>
      </c>
    </row>
    <row r="7" spans="1:8" ht="22.5" customHeight="1" x14ac:dyDescent="0.25">
      <c r="A7" s="104">
        <v>5</v>
      </c>
      <c r="B7" s="104">
        <v>80</v>
      </c>
      <c r="C7" s="133">
        <f>Table7[[#This Row],[HWB]]/real_zu_spiel_strombedarf/COP_0</f>
        <v>16</v>
      </c>
      <c r="D7" s="133">
        <f>Table7[[#This Row],[HWB]]/real_zu_spiel_strombedarf/COP_1</f>
        <v>8</v>
      </c>
      <c r="E7" s="133">
        <f>Table7[[#This Row],[HWB]]/real_zu_spiel_strombedarf/COP_2</f>
        <v>6.4</v>
      </c>
      <c r="F7" s="133">
        <f>Table7[[#This Row],[HWB]]/real_zu_spiel_strombedarf/COP_3</f>
        <v>4.8004800480048004</v>
      </c>
      <c r="G7" s="133">
        <f>Table7[[#This Row],[HWB]]/real_zu_spiel_strombedarf/COP_4</f>
        <v>3.5200035200035202</v>
      </c>
      <c r="H7" s="133">
        <f>Table7[[#This Row],[HWB]]/real_zu_spiel_strombedarf/COP_5</f>
        <v>2.4024024024024024</v>
      </c>
    </row>
    <row r="8" spans="1:8" ht="22.5" customHeight="1" x14ac:dyDescent="0.25">
      <c r="A8" s="104">
        <v>6</v>
      </c>
      <c r="B8" s="104">
        <v>60</v>
      </c>
      <c r="C8" s="133">
        <f>Table7[[#This Row],[HWB]]/real_zu_spiel_strombedarf/COP_0</f>
        <v>12</v>
      </c>
      <c r="D8" s="133">
        <f>Table7[[#This Row],[HWB]]/real_zu_spiel_strombedarf/COP_1</f>
        <v>6</v>
      </c>
      <c r="E8" s="133">
        <f>Table7[[#This Row],[HWB]]/real_zu_spiel_strombedarf/COP_2</f>
        <v>4.8</v>
      </c>
      <c r="F8" s="133">
        <f>Table7[[#This Row],[HWB]]/real_zu_spiel_strombedarf/COP_3</f>
        <v>3.6003600360036003</v>
      </c>
      <c r="G8" s="133">
        <f>Table7[[#This Row],[HWB]]/real_zu_spiel_strombedarf/COP_4</f>
        <v>2.6400026400026402</v>
      </c>
      <c r="H8" s="133">
        <f>Table7[[#This Row],[HWB]]/real_zu_spiel_strombedarf/COP_5</f>
        <v>1.8018018018018018</v>
      </c>
    </row>
    <row r="9" spans="1:8" ht="22.5" customHeight="1" x14ac:dyDescent="0.25">
      <c r="A9" s="104">
        <v>7</v>
      </c>
      <c r="B9" s="104">
        <v>40</v>
      </c>
      <c r="C9" s="133">
        <f>Table7[[#This Row],[HWB]]/real_zu_spiel_strombedarf/COP_0</f>
        <v>8</v>
      </c>
      <c r="D9" s="133">
        <f>Table7[[#This Row],[HWB]]/real_zu_spiel_strombedarf/COP_1</f>
        <v>4</v>
      </c>
      <c r="E9" s="133">
        <f>Table7[[#This Row],[HWB]]/real_zu_spiel_strombedarf/COP_2</f>
        <v>3.2</v>
      </c>
      <c r="F9" s="133">
        <f>Table7[[#This Row],[HWB]]/real_zu_spiel_strombedarf/COP_3</f>
        <v>2.4002400240024002</v>
      </c>
      <c r="G9" s="133">
        <f>Table7[[#This Row],[HWB]]/real_zu_spiel_strombedarf/COP_4</f>
        <v>1.7600017600017601</v>
      </c>
      <c r="H9" s="133">
        <f>Table7[[#This Row],[HWB]]/real_zu_spiel_strombedarf/COP_5</f>
        <v>1.2012012012012012</v>
      </c>
    </row>
    <row r="10" spans="1:8" ht="22.5" customHeight="1" x14ac:dyDescent="0.25">
      <c r="A10" s="104">
        <v>8</v>
      </c>
      <c r="B10" s="104">
        <v>20</v>
      </c>
      <c r="C10" s="133">
        <f>Table7[[#This Row],[HWB]]/real_zu_spiel_strombedarf/COP_0</f>
        <v>4</v>
      </c>
      <c r="D10" s="133">
        <f>Table7[[#This Row],[HWB]]/real_zu_spiel_strombedarf/COP_1</f>
        <v>2</v>
      </c>
      <c r="E10" s="133">
        <f>Table7[[#This Row],[HWB]]/real_zu_spiel_strombedarf/COP_2</f>
        <v>1.6</v>
      </c>
      <c r="F10" s="133">
        <f>Table7[[#This Row],[HWB]]/real_zu_spiel_strombedarf/COP_3</f>
        <v>1.2001200120012001</v>
      </c>
      <c r="G10" s="133">
        <f>Table7[[#This Row],[HWB]]/real_zu_spiel_strombedarf/COP_4</f>
        <v>0.88000088000088006</v>
      </c>
      <c r="H10" s="133">
        <f>Table7[[#This Row],[HWB]]/real_zu_spiel_strombedarf/COP_5</f>
        <v>0.60060060060060061</v>
      </c>
    </row>
    <row r="11" spans="1:8" ht="22.5" customHeight="1" x14ac:dyDescent="0.25">
      <c r="A11" s="104">
        <v>9</v>
      </c>
      <c r="B11" s="104">
        <v>0</v>
      </c>
      <c r="C11" s="133">
        <f>Table7[[#This Row],[HWB]]/real_zu_spiel_strombedarf/COP_0</f>
        <v>0</v>
      </c>
      <c r="D11" s="133">
        <f>Table7[[#This Row],[HWB]]/real_zu_spiel_strombedarf/COP_1</f>
        <v>0</v>
      </c>
      <c r="E11" s="133">
        <f>Table7[[#This Row],[HWB]]/real_zu_spiel_strombedarf/COP_2</f>
        <v>0</v>
      </c>
      <c r="F11" s="133">
        <f>Table7[[#This Row],[HWB]]/real_zu_spiel_strombedarf/COP_3</f>
        <v>0</v>
      </c>
      <c r="G11" s="133">
        <f>Table7[[#This Row],[HWB]]/real_zu_spiel_strombedarf/COP_4</f>
        <v>0</v>
      </c>
      <c r="H11" s="133">
        <f>Table7[[#This Row],[HWB]]/real_zu_spiel_strombedarf/COP_5</f>
        <v>0</v>
      </c>
    </row>
    <row r="16" spans="1:8" ht="12.5" x14ac:dyDescent="0.25">
      <c r="E16" s="111"/>
      <c r="F16" s="111"/>
      <c r="G16" s="111"/>
      <c r="H16" s="111"/>
    </row>
    <row r="17" spans="5:8" ht="12.5" x14ac:dyDescent="0.25">
      <c r="E17" s="111"/>
      <c r="F17" s="111"/>
      <c r="G17" s="111"/>
      <c r="H17" s="111"/>
    </row>
    <row r="18" spans="5:8" ht="12.5" x14ac:dyDescent="0.25">
      <c r="E18" s="111"/>
      <c r="F18" s="111"/>
      <c r="G18" s="111"/>
      <c r="H18" s="111"/>
    </row>
    <row r="19" spans="5:8" ht="12.5" x14ac:dyDescent="0.25">
      <c r="E19" s="111"/>
      <c r="F19" s="111"/>
      <c r="G19" s="111"/>
      <c r="H19" s="111"/>
    </row>
    <row r="20" spans="5:8" ht="12.5" x14ac:dyDescent="0.25">
      <c r="E20" s="111"/>
      <c r="F20" s="111"/>
      <c r="G20" s="111"/>
      <c r="H20" s="111"/>
    </row>
    <row r="21" spans="5:8" ht="12.5" x14ac:dyDescent="0.25">
      <c r="E21" s="111"/>
      <c r="F21" s="111"/>
      <c r="G21" s="111"/>
      <c r="H21" s="111"/>
    </row>
    <row r="22" spans="5:8" ht="12.5" x14ac:dyDescent="0.25">
      <c r="E22" s="111"/>
      <c r="F22" s="111"/>
      <c r="G22" s="111"/>
      <c r="H22" s="111"/>
    </row>
    <row r="23" spans="5:8" ht="12.5" x14ac:dyDescent="0.25">
      <c r="E23" s="111"/>
      <c r="F23" s="111"/>
      <c r="G23" s="111"/>
      <c r="H23" s="111"/>
    </row>
    <row r="24" spans="5:8" ht="12.5" x14ac:dyDescent="0.25">
      <c r="E24" s="111"/>
      <c r="F24" s="111"/>
      <c r="G24" s="111"/>
      <c r="H24" s="111"/>
    </row>
    <row r="25" spans="5:8" ht="12.5" x14ac:dyDescent="0.25">
      <c r="E25" s="111"/>
      <c r="F25" s="111"/>
      <c r="G25" s="111"/>
      <c r="H25" s="111"/>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12" activePane="bottomLeft" state="frozen"/>
      <selection pane="bottomLeft" activeCell="Q32" sqref="Q31:Q32"/>
    </sheetView>
  </sheetViews>
  <sheetFormatPr baseColWidth="10" defaultColWidth="12.54296875" defaultRowHeight="15.75" customHeight="1" x14ac:dyDescent="0.25"/>
  <cols>
    <col min="1" max="1" width="16.7265625" customWidth="1"/>
    <col min="10" max="13" width="14" customWidth="1"/>
  </cols>
  <sheetData>
    <row r="1" spans="1:12" ht="22.5" customHeight="1" x14ac:dyDescent="0.25">
      <c r="A1" s="103" t="s">
        <v>276</v>
      </c>
      <c r="B1" s="118" t="s">
        <v>323</v>
      </c>
      <c r="C1" s="118" t="s">
        <v>344</v>
      </c>
      <c r="D1" s="121" t="s">
        <v>291</v>
      </c>
      <c r="E1" s="118" t="s">
        <v>325</v>
      </c>
      <c r="F1" s="118" t="s">
        <v>326</v>
      </c>
      <c r="G1" s="118" t="s">
        <v>327</v>
      </c>
      <c r="H1" s="118" t="s">
        <v>328</v>
      </c>
      <c r="I1" s="121" t="s">
        <v>302</v>
      </c>
      <c r="J1" s="121" t="s">
        <v>303</v>
      </c>
      <c r="K1" s="121" t="s">
        <v>304</v>
      </c>
      <c r="L1" s="121" t="s">
        <v>305</v>
      </c>
    </row>
    <row r="2" spans="1:12" ht="22.5" customHeight="1" x14ac:dyDescent="0.25">
      <c r="A2" s="104">
        <v>0</v>
      </c>
      <c r="B2" s="104">
        <f>Table8[[#This Row],[Netzbezug]]*real_zu_spiel_netzbezug</f>
        <v>0</v>
      </c>
      <c r="C2" s="104">
        <f>Table8[[#This Row],[Netzbezug Real]]*'Mapping RealwerteSpielwerte'!$B$27</f>
        <v>0</v>
      </c>
      <c r="D2" s="110">
        <v>0</v>
      </c>
      <c r="E2" s="126">
        <f>Table8[[#This Row],[Netzbezug Real]]*real_zu_spiel_emissionsintensität_1*years_per_round</f>
        <v>0</v>
      </c>
      <c r="F2" s="126">
        <f>Table8[[#This Row],[Netzbezug Real]]*real_zu_spiel_emissionsintensität_2*years_per_round</f>
        <v>0</v>
      </c>
      <c r="G2" s="126">
        <f>Table8[[#This Row],[Netzbezug Real]]*real_zu_spiel_emissionsintensität_3*years_per_round</f>
        <v>0</v>
      </c>
      <c r="H2" s="126">
        <f>Table8[[#This Row],[Netzbezug Real]]*real_zu_spiel_emissionsintensität_4*years_per_round</f>
        <v>0</v>
      </c>
      <c r="I2" s="136">
        <f>Table8[[#This Row],[Netzbezug Real]]*real_zu_spiel_emissionsintensität_1*years_per_round</f>
        <v>0</v>
      </c>
      <c r="J2" s="136">
        <f>Table8[[#This Row],[Netzbezug Real]]*real_zu_spiel_emissionsintensität_2*years_per_round</f>
        <v>0</v>
      </c>
      <c r="K2" s="136">
        <f>Table8[[#This Row],[Netzbezug Real]]*real_zu_spiel_emissionsintensität_3*years_per_round</f>
        <v>0</v>
      </c>
      <c r="L2" s="136">
        <f>Table8[[#This Row],[Netzbezug Real]]*real_zu_spiel_emissionsintensität_4*years_per_round</f>
        <v>0</v>
      </c>
    </row>
    <row r="3" spans="1:12" ht="22.5" customHeight="1" x14ac:dyDescent="0.25">
      <c r="A3" s="104">
        <v>1</v>
      </c>
      <c r="B3" s="104">
        <f>Table8[[#This Row],[Netzbezug]]*real_zu_spiel_netzbezug</f>
        <v>5</v>
      </c>
      <c r="C3" s="104">
        <f>Table8[[#This Row],[Netzbezug Real]]*'Mapping RealwerteSpielwerte'!$B$27</f>
        <v>0.75</v>
      </c>
      <c r="D3" s="110">
        <v>0</v>
      </c>
      <c r="E3" s="126">
        <f>Table8[[#This Row],[Netzbezug Real]]*real_zu_spiel_emissionsintensität_1*years_per_round</f>
        <v>2.5</v>
      </c>
      <c r="F3" s="126">
        <f>Table8[[#This Row],[Netzbezug Real]]*real_zu_spiel_emissionsintensität_2*years_per_round</f>
        <v>1.25</v>
      </c>
      <c r="G3" s="126">
        <f>Table8[[#This Row],[Netzbezug Real]]*real_zu_spiel_emissionsintensität_3*years_per_round</f>
        <v>0.75</v>
      </c>
      <c r="H3" s="126">
        <f>Table8[[#This Row],[Netzbezug Real]]*real_zu_spiel_emissionsintensität_4*years_per_round</f>
        <v>0.375</v>
      </c>
      <c r="I3" s="136">
        <f>Table8[[#This Row],[Netzbezug Real]]*real_zu_spiel_emissionsintensität_1*years_per_round</f>
        <v>2.5</v>
      </c>
      <c r="J3" s="136">
        <f>Table8[[#This Row],[Netzbezug Real]]*real_zu_spiel_emissionsintensität_2*years_per_round</f>
        <v>1.25</v>
      </c>
      <c r="K3" s="136">
        <f>Table8[[#This Row],[Netzbezug Real]]*real_zu_spiel_emissionsintensität_3*years_per_round</f>
        <v>0.75</v>
      </c>
      <c r="L3" s="136">
        <f>Table8[[#This Row],[Netzbezug Real]]*real_zu_spiel_emissionsintensität_4*years_per_round</f>
        <v>0.375</v>
      </c>
    </row>
    <row r="4" spans="1:12" ht="22.5" customHeight="1" x14ac:dyDescent="0.25">
      <c r="A4" s="104">
        <v>2</v>
      </c>
      <c r="B4" s="104">
        <f>Table8[[#This Row],[Netzbezug]]*real_zu_spiel_netzbezug</f>
        <v>10</v>
      </c>
      <c r="C4" s="104">
        <f>Table8[[#This Row],[Netzbezug Real]]*'Mapping RealwerteSpielwerte'!$B$27</f>
        <v>1.5</v>
      </c>
      <c r="D4" s="110">
        <v>0</v>
      </c>
      <c r="E4" s="126">
        <f>Table8[[#This Row],[Netzbezug Real]]*real_zu_spiel_emissionsintensität_1*years_per_round</f>
        <v>5</v>
      </c>
      <c r="F4" s="126">
        <f>Table8[[#This Row],[Netzbezug Real]]*real_zu_spiel_emissionsintensität_2*years_per_round</f>
        <v>2.5</v>
      </c>
      <c r="G4" s="126">
        <f>Table8[[#This Row],[Netzbezug Real]]*real_zu_spiel_emissionsintensität_3*years_per_round</f>
        <v>1.5</v>
      </c>
      <c r="H4" s="126">
        <f>Table8[[#This Row],[Netzbezug Real]]*real_zu_spiel_emissionsintensität_4*years_per_round</f>
        <v>0.75</v>
      </c>
      <c r="I4" s="136">
        <f>Table8[[#This Row],[Netzbezug Real]]*real_zu_spiel_emissionsintensität_1*years_per_round</f>
        <v>5</v>
      </c>
      <c r="J4" s="136">
        <f>Table8[[#This Row],[Netzbezug Real]]*real_zu_spiel_emissionsintensität_2*years_per_round</f>
        <v>2.5</v>
      </c>
      <c r="K4" s="136">
        <f>Table8[[#This Row],[Netzbezug Real]]*real_zu_spiel_emissionsintensität_3*years_per_round</f>
        <v>1.5</v>
      </c>
      <c r="L4" s="136">
        <f>Table8[[#This Row],[Netzbezug Real]]*real_zu_spiel_emissionsintensität_4*years_per_round</f>
        <v>0.75</v>
      </c>
    </row>
    <row r="5" spans="1:12" ht="22.5" customHeight="1" x14ac:dyDescent="0.25">
      <c r="A5" s="104">
        <v>3</v>
      </c>
      <c r="B5" s="104">
        <f>Table8[[#This Row],[Netzbezug]]*real_zu_spiel_netzbezug</f>
        <v>15</v>
      </c>
      <c r="C5" s="104">
        <f>Table8[[#This Row],[Netzbezug Real]]*'Mapping RealwerteSpielwerte'!$B$27</f>
        <v>2.25</v>
      </c>
      <c r="D5" s="110">
        <v>0</v>
      </c>
      <c r="E5" s="126">
        <f>Table8[[#This Row],[Netzbezug Real]]*real_zu_spiel_emissionsintensität_1*years_per_round</f>
        <v>7.5</v>
      </c>
      <c r="F5" s="126">
        <f>Table8[[#This Row],[Netzbezug Real]]*real_zu_spiel_emissionsintensität_2*years_per_round</f>
        <v>3.75</v>
      </c>
      <c r="G5" s="126">
        <f>Table8[[#This Row],[Netzbezug Real]]*real_zu_spiel_emissionsintensität_3*years_per_round</f>
        <v>2.25</v>
      </c>
      <c r="H5" s="126">
        <f>Table8[[#This Row],[Netzbezug Real]]*real_zu_spiel_emissionsintensität_4*years_per_round</f>
        <v>1.125</v>
      </c>
      <c r="I5" s="136">
        <f>Table8[[#This Row],[Netzbezug Real]]*real_zu_spiel_emissionsintensität_1*years_per_round</f>
        <v>7.5</v>
      </c>
      <c r="J5" s="136">
        <f>Table8[[#This Row],[Netzbezug Real]]*real_zu_spiel_emissionsintensität_2*years_per_round</f>
        <v>3.75</v>
      </c>
      <c r="K5" s="136">
        <f>Table8[[#This Row],[Netzbezug Real]]*real_zu_spiel_emissionsintensität_3*years_per_round</f>
        <v>2.25</v>
      </c>
      <c r="L5" s="136">
        <f>Table8[[#This Row],[Netzbezug Real]]*real_zu_spiel_emissionsintensität_4*years_per_round</f>
        <v>1.125</v>
      </c>
    </row>
    <row r="6" spans="1:12" ht="22.5" customHeight="1" x14ac:dyDescent="0.25">
      <c r="A6" s="104">
        <v>4</v>
      </c>
      <c r="B6" s="104">
        <f>Table8[[#This Row],[Netzbezug]]*real_zu_spiel_netzbezug</f>
        <v>20</v>
      </c>
      <c r="C6" s="104">
        <f>Table8[[#This Row],[Netzbezug Real]]*'Mapping RealwerteSpielwerte'!$B$27</f>
        <v>3</v>
      </c>
      <c r="D6" s="110">
        <v>-1</v>
      </c>
      <c r="E6" s="126">
        <f>Table8[[#This Row],[Netzbezug Real]]*real_zu_spiel_emissionsintensität_1*years_per_round</f>
        <v>10</v>
      </c>
      <c r="F6" s="126">
        <f>Table8[[#This Row],[Netzbezug Real]]*real_zu_spiel_emissionsintensität_2*years_per_round</f>
        <v>5</v>
      </c>
      <c r="G6" s="126">
        <f>Table8[[#This Row],[Netzbezug Real]]*real_zu_spiel_emissionsintensität_3*years_per_round</f>
        <v>3</v>
      </c>
      <c r="H6" s="126">
        <f>Table8[[#This Row],[Netzbezug Real]]*real_zu_spiel_emissionsintensität_4*years_per_round</f>
        <v>1.5</v>
      </c>
      <c r="I6" s="136">
        <f>Table8[[#This Row],[Netzbezug Real]]*real_zu_spiel_emissionsintensität_1*years_per_round</f>
        <v>10</v>
      </c>
      <c r="J6" s="136">
        <f>Table8[[#This Row],[Netzbezug Real]]*real_zu_spiel_emissionsintensität_2*years_per_round</f>
        <v>5</v>
      </c>
      <c r="K6" s="136">
        <f>Table8[[#This Row],[Netzbezug Real]]*real_zu_spiel_emissionsintensität_3*years_per_round</f>
        <v>3</v>
      </c>
      <c r="L6" s="136">
        <f>Table8[[#This Row],[Netzbezug Real]]*real_zu_spiel_emissionsintensität_4*years_per_round</f>
        <v>1.5</v>
      </c>
    </row>
    <row r="7" spans="1:12" ht="22.5" customHeight="1" x14ac:dyDescent="0.25">
      <c r="A7" s="104">
        <v>5</v>
      </c>
      <c r="B7" s="104">
        <f>Table8[[#This Row],[Netzbezug]]*real_zu_spiel_netzbezug</f>
        <v>25</v>
      </c>
      <c r="C7" s="104">
        <f>Table8[[#This Row],[Netzbezug Real]]*'Mapping RealwerteSpielwerte'!$B$27</f>
        <v>3.75</v>
      </c>
      <c r="D7" s="110">
        <v>-1</v>
      </c>
      <c r="E7" s="126">
        <f>Table8[[#This Row],[Netzbezug Real]]*real_zu_spiel_emissionsintensität_1*years_per_round</f>
        <v>12.5</v>
      </c>
      <c r="F7" s="126">
        <f>Table8[[#This Row],[Netzbezug Real]]*real_zu_spiel_emissionsintensität_2*years_per_round</f>
        <v>6.25</v>
      </c>
      <c r="G7" s="126">
        <f>Table8[[#This Row],[Netzbezug Real]]*real_zu_spiel_emissionsintensität_3*years_per_round</f>
        <v>3.75</v>
      </c>
      <c r="H7" s="126">
        <f>Table8[[#This Row],[Netzbezug Real]]*real_zu_spiel_emissionsintensität_4*years_per_round</f>
        <v>1.875</v>
      </c>
      <c r="I7" s="136">
        <f>Table8[[#This Row],[Netzbezug Real]]*real_zu_spiel_emissionsintensität_1*years_per_round</f>
        <v>12.5</v>
      </c>
      <c r="J7" s="136">
        <f>Table8[[#This Row],[Netzbezug Real]]*real_zu_spiel_emissionsintensität_2*years_per_round</f>
        <v>6.25</v>
      </c>
      <c r="K7" s="136">
        <f>Table8[[#This Row],[Netzbezug Real]]*real_zu_spiel_emissionsintensität_3*years_per_round</f>
        <v>3.75</v>
      </c>
      <c r="L7" s="136">
        <f>Table8[[#This Row],[Netzbezug Real]]*real_zu_spiel_emissionsintensität_4*years_per_round</f>
        <v>1.875</v>
      </c>
    </row>
    <row r="8" spans="1:12" ht="22.5" customHeight="1" x14ac:dyDescent="0.25">
      <c r="A8" s="104">
        <v>6</v>
      </c>
      <c r="B8" s="104">
        <f>Table8[[#This Row],[Netzbezug]]*real_zu_spiel_netzbezug</f>
        <v>30</v>
      </c>
      <c r="C8" s="104">
        <f>Table8[[#This Row],[Netzbezug Real]]*'Mapping RealwerteSpielwerte'!$B$27</f>
        <v>4.5</v>
      </c>
      <c r="D8" s="110">
        <v>-1</v>
      </c>
      <c r="E8" s="126">
        <f>Table8[[#This Row],[Netzbezug Real]]*real_zu_spiel_emissionsintensität_1*years_per_round</f>
        <v>15</v>
      </c>
      <c r="F8" s="126">
        <f>Table8[[#This Row],[Netzbezug Real]]*real_zu_spiel_emissionsintensität_2*years_per_round</f>
        <v>7.5</v>
      </c>
      <c r="G8" s="126">
        <f>Table8[[#This Row],[Netzbezug Real]]*real_zu_spiel_emissionsintensität_3*years_per_round</f>
        <v>4.5</v>
      </c>
      <c r="H8" s="126">
        <f>Table8[[#This Row],[Netzbezug Real]]*real_zu_spiel_emissionsintensität_4*years_per_round</f>
        <v>2.25</v>
      </c>
      <c r="I8" s="136">
        <f>Table8[[#This Row],[Netzbezug Real]]*real_zu_spiel_emissionsintensität_1*years_per_round</f>
        <v>15</v>
      </c>
      <c r="J8" s="136">
        <f>Table8[[#This Row],[Netzbezug Real]]*real_zu_spiel_emissionsintensität_2*years_per_round</f>
        <v>7.5</v>
      </c>
      <c r="K8" s="136">
        <f>Table8[[#This Row],[Netzbezug Real]]*real_zu_spiel_emissionsintensität_3*years_per_round</f>
        <v>4.5</v>
      </c>
      <c r="L8" s="136">
        <f>Table8[[#This Row],[Netzbezug Real]]*real_zu_spiel_emissionsintensität_4*years_per_round</f>
        <v>2.25</v>
      </c>
    </row>
    <row r="9" spans="1:12" ht="22.5" customHeight="1" x14ac:dyDescent="0.25">
      <c r="A9" s="104">
        <v>7</v>
      </c>
      <c r="B9" s="104">
        <f>Table8[[#This Row],[Netzbezug]]*real_zu_spiel_netzbezug</f>
        <v>35</v>
      </c>
      <c r="C9" s="104">
        <f>Table8[[#This Row],[Netzbezug Real]]*'Mapping RealwerteSpielwerte'!$B$27</f>
        <v>5.25</v>
      </c>
      <c r="D9" s="110">
        <v>-1</v>
      </c>
      <c r="E9" s="126">
        <f>Table8[[#This Row],[Netzbezug Real]]*real_zu_spiel_emissionsintensität_1*years_per_round</f>
        <v>17.5</v>
      </c>
      <c r="F9" s="126">
        <f>Table8[[#This Row],[Netzbezug Real]]*real_zu_spiel_emissionsintensität_2*years_per_round</f>
        <v>8.75</v>
      </c>
      <c r="G9" s="126">
        <f>Table8[[#This Row],[Netzbezug Real]]*real_zu_spiel_emissionsintensität_3*years_per_round</f>
        <v>5.25</v>
      </c>
      <c r="H9" s="126">
        <f>Table8[[#This Row],[Netzbezug Real]]*real_zu_spiel_emissionsintensität_4*years_per_round</f>
        <v>2.625</v>
      </c>
      <c r="I9" s="136">
        <f>Table8[[#This Row],[Netzbezug Real]]*real_zu_spiel_emissionsintensität_1*years_per_round</f>
        <v>17.5</v>
      </c>
      <c r="J9" s="136">
        <f>Table8[[#This Row],[Netzbezug Real]]*real_zu_spiel_emissionsintensität_2*years_per_round</f>
        <v>8.75</v>
      </c>
      <c r="K9" s="136">
        <f>Table8[[#This Row],[Netzbezug Real]]*real_zu_spiel_emissionsintensität_3*years_per_round</f>
        <v>5.25</v>
      </c>
      <c r="L9" s="136">
        <f>Table8[[#This Row],[Netzbezug Real]]*real_zu_spiel_emissionsintensität_4*years_per_round</f>
        <v>2.625</v>
      </c>
    </row>
    <row r="10" spans="1:12" ht="22.5" customHeight="1" x14ac:dyDescent="0.25">
      <c r="A10" s="104">
        <v>8</v>
      </c>
      <c r="B10" s="104">
        <f>Table8[[#This Row],[Netzbezug]]*real_zu_spiel_netzbezug</f>
        <v>40</v>
      </c>
      <c r="C10" s="104">
        <f>Table8[[#This Row],[Netzbezug Real]]*'Mapping RealwerteSpielwerte'!$B$27</f>
        <v>6</v>
      </c>
      <c r="D10" s="110">
        <v>-1</v>
      </c>
      <c r="E10" s="126">
        <f>Table8[[#This Row],[Netzbezug Real]]*real_zu_spiel_emissionsintensität_1*years_per_round</f>
        <v>20</v>
      </c>
      <c r="F10" s="126">
        <f>Table8[[#This Row],[Netzbezug Real]]*real_zu_spiel_emissionsintensität_2*years_per_round</f>
        <v>10</v>
      </c>
      <c r="G10" s="126">
        <f>Table8[[#This Row],[Netzbezug Real]]*real_zu_spiel_emissionsintensität_3*years_per_round</f>
        <v>6</v>
      </c>
      <c r="H10" s="126">
        <f>Table8[[#This Row],[Netzbezug Real]]*real_zu_spiel_emissionsintensität_4*years_per_round</f>
        <v>3</v>
      </c>
      <c r="I10" s="136">
        <f>Table8[[#This Row],[Netzbezug Real]]*real_zu_spiel_emissionsintensität_1*years_per_round</f>
        <v>20</v>
      </c>
      <c r="J10" s="136">
        <f>Table8[[#This Row],[Netzbezug Real]]*real_zu_spiel_emissionsintensität_2*years_per_round</f>
        <v>10</v>
      </c>
      <c r="K10" s="136">
        <f>Table8[[#This Row],[Netzbezug Real]]*real_zu_spiel_emissionsintensität_3*years_per_round</f>
        <v>6</v>
      </c>
      <c r="L10" s="136">
        <f>Table8[[#This Row],[Netzbezug Real]]*real_zu_spiel_emissionsintensität_4*years_per_round</f>
        <v>3</v>
      </c>
    </row>
    <row r="11" spans="1:12" ht="22.5" customHeight="1" x14ac:dyDescent="0.25">
      <c r="A11" s="104">
        <v>9</v>
      </c>
      <c r="B11" s="104">
        <f>Table8[[#This Row],[Netzbezug]]*real_zu_spiel_netzbezug</f>
        <v>45</v>
      </c>
      <c r="C11" s="104">
        <f>Table8[[#This Row],[Netzbezug Real]]*'Mapping RealwerteSpielwerte'!$B$27</f>
        <v>6.75</v>
      </c>
      <c r="D11" s="110">
        <v>-1</v>
      </c>
      <c r="E11" s="126">
        <f>Table8[[#This Row],[Netzbezug Real]]*real_zu_spiel_emissionsintensität_1*years_per_round</f>
        <v>22.5</v>
      </c>
      <c r="F11" s="126">
        <f>Table8[[#This Row],[Netzbezug Real]]*real_zu_spiel_emissionsintensität_2*years_per_round</f>
        <v>11.25</v>
      </c>
      <c r="G11" s="126">
        <f>Table8[[#This Row],[Netzbezug Real]]*real_zu_spiel_emissionsintensität_3*years_per_round</f>
        <v>6.7499999999999991</v>
      </c>
      <c r="H11" s="126">
        <f>Table8[[#This Row],[Netzbezug Real]]*real_zu_spiel_emissionsintensität_4*years_per_round</f>
        <v>3.3749999999999996</v>
      </c>
      <c r="I11" s="136">
        <f>Table8[[#This Row],[Netzbezug Real]]*real_zu_spiel_emissionsintensität_1*years_per_round</f>
        <v>22.5</v>
      </c>
      <c r="J11" s="136">
        <f>Table8[[#This Row],[Netzbezug Real]]*real_zu_spiel_emissionsintensität_2*years_per_round</f>
        <v>11.25</v>
      </c>
      <c r="K11" s="136">
        <f>Table8[[#This Row],[Netzbezug Real]]*real_zu_spiel_emissionsintensität_3*years_per_round</f>
        <v>6.7499999999999991</v>
      </c>
      <c r="L11" s="136">
        <f>Table8[[#This Row],[Netzbezug Real]]*real_zu_spiel_emissionsintensität_4*years_per_round</f>
        <v>3.3749999999999996</v>
      </c>
    </row>
    <row r="12" spans="1:12" ht="22.5" customHeight="1" x14ac:dyDescent="0.25">
      <c r="A12" s="104">
        <v>10</v>
      </c>
      <c r="B12" s="104">
        <f>Table8[[#This Row],[Netzbezug]]*real_zu_spiel_netzbezug</f>
        <v>50</v>
      </c>
      <c r="C12" s="104">
        <f>Table8[[#This Row],[Netzbezug Real]]*'Mapping RealwerteSpielwerte'!$B$27</f>
        <v>7.5</v>
      </c>
      <c r="D12" s="110">
        <v>-2</v>
      </c>
      <c r="E12" s="126">
        <f>Table8[[#This Row],[Netzbezug Real]]*real_zu_spiel_emissionsintensität_1*years_per_round</f>
        <v>25</v>
      </c>
      <c r="F12" s="126">
        <f>Table8[[#This Row],[Netzbezug Real]]*real_zu_spiel_emissionsintensität_2*years_per_round</f>
        <v>12.5</v>
      </c>
      <c r="G12" s="126">
        <f>Table8[[#This Row],[Netzbezug Real]]*real_zu_spiel_emissionsintensität_3*years_per_round</f>
        <v>7.5</v>
      </c>
      <c r="H12" s="126">
        <f>Table8[[#This Row],[Netzbezug Real]]*real_zu_spiel_emissionsintensität_4*years_per_round</f>
        <v>3.75</v>
      </c>
      <c r="I12" s="136">
        <f>Table8[[#This Row],[Netzbezug Real]]*real_zu_spiel_emissionsintensität_1*years_per_round</f>
        <v>25</v>
      </c>
      <c r="J12" s="136">
        <f>Table8[[#This Row],[Netzbezug Real]]*real_zu_spiel_emissionsintensität_2*years_per_round</f>
        <v>12.5</v>
      </c>
      <c r="K12" s="136">
        <f>Table8[[#This Row],[Netzbezug Real]]*real_zu_spiel_emissionsintensität_3*years_per_round</f>
        <v>7.5</v>
      </c>
      <c r="L12" s="136">
        <f>Table8[[#This Row],[Netzbezug Real]]*real_zu_spiel_emissionsintensität_4*years_per_round</f>
        <v>3.75</v>
      </c>
    </row>
    <row r="13" spans="1:12" ht="22.5" customHeight="1" x14ac:dyDescent="0.25">
      <c r="A13" s="104">
        <v>11</v>
      </c>
      <c r="B13" s="104">
        <f>Table8[[#This Row],[Netzbezug]]*real_zu_spiel_netzbezug</f>
        <v>55</v>
      </c>
      <c r="C13" s="104">
        <f>Table8[[#This Row],[Netzbezug Real]]*'Mapping RealwerteSpielwerte'!$B$27</f>
        <v>8.25</v>
      </c>
      <c r="D13" s="110">
        <v>-2</v>
      </c>
      <c r="E13" s="126">
        <f>Table8[[#This Row],[Netzbezug Real]]*real_zu_spiel_emissionsintensität_1*years_per_round</f>
        <v>27.5</v>
      </c>
      <c r="F13" s="126">
        <f>Table8[[#This Row],[Netzbezug Real]]*real_zu_spiel_emissionsintensität_2*years_per_round</f>
        <v>13.75</v>
      </c>
      <c r="G13" s="126">
        <f>Table8[[#This Row],[Netzbezug Real]]*real_zu_spiel_emissionsintensität_3*years_per_round</f>
        <v>8.25</v>
      </c>
      <c r="H13" s="126">
        <f>Table8[[#This Row],[Netzbezug Real]]*real_zu_spiel_emissionsintensität_4*years_per_round</f>
        <v>4.125</v>
      </c>
      <c r="I13" s="136">
        <f>Table8[[#This Row],[Netzbezug Real]]*real_zu_spiel_emissionsintensität_1*years_per_round</f>
        <v>27.5</v>
      </c>
      <c r="J13" s="136">
        <f>Table8[[#This Row],[Netzbezug Real]]*real_zu_spiel_emissionsintensität_2*years_per_round</f>
        <v>13.75</v>
      </c>
      <c r="K13" s="136">
        <f>Table8[[#This Row],[Netzbezug Real]]*real_zu_spiel_emissionsintensität_3*years_per_round</f>
        <v>8.25</v>
      </c>
      <c r="L13" s="136">
        <f>Table8[[#This Row],[Netzbezug Real]]*real_zu_spiel_emissionsintensität_4*years_per_round</f>
        <v>4.125</v>
      </c>
    </row>
    <row r="14" spans="1:12" ht="22.5" customHeight="1" x14ac:dyDescent="0.25">
      <c r="A14" s="104">
        <v>12</v>
      </c>
      <c r="B14" s="104">
        <f>Table8[[#This Row],[Netzbezug]]*real_zu_spiel_netzbezug</f>
        <v>60</v>
      </c>
      <c r="C14" s="104">
        <f>Table8[[#This Row],[Netzbezug Real]]*'Mapping RealwerteSpielwerte'!$B$27</f>
        <v>9</v>
      </c>
      <c r="D14" s="110">
        <v>-2</v>
      </c>
      <c r="E14" s="126">
        <f>Table8[[#This Row],[Netzbezug Real]]*real_zu_spiel_emissionsintensität_1*years_per_round</f>
        <v>30</v>
      </c>
      <c r="F14" s="126">
        <f>Table8[[#This Row],[Netzbezug Real]]*real_zu_spiel_emissionsintensität_2*years_per_round</f>
        <v>15</v>
      </c>
      <c r="G14" s="126">
        <f>Table8[[#This Row],[Netzbezug Real]]*real_zu_spiel_emissionsintensität_3*years_per_round</f>
        <v>9</v>
      </c>
      <c r="H14" s="126">
        <f>Table8[[#This Row],[Netzbezug Real]]*real_zu_spiel_emissionsintensität_4*years_per_round</f>
        <v>4.5</v>
      </c>
      <c r="I14" s="136">
        <f>Table8[[#This Row],[Netzbezug Real]]*real_zu_spiel_emissionsintensität_1*years_per_round</f>
        <v>30</v>
      </c>
      <c r="J14" s="136">
        <f>Table8[[#This Row],[Netzbezug Real]]*real_zu_spiel_emissionsintensität_2*years_per_round</f>
        <v>15</v>
      </c>
      <c r="K14" s="136">
        <f>Table8[[#This Row],[Netzbezug Real]]*real_zu_spiel_emissionsintensität_3*years_per_round</f>
        <v>9</v>
      </c>
      <c r="L14" s="136">
        <f>Table8[[#This Row],[Netzbezug Real]]*real_zu_spiel_emissionsintensität_4*years_per_round</f>
        <v>4.5</v>
      </c>
    </row>
    <row r="15" spans="1:12" ht="22.5" customHeight="1" x14ac:dyDescent="0.25">
      <c r="A15" s="104">
        <v>13</v>
      </c>
      <c r="B15" s="104">
        <f>Table8[[#This Row],[Netzbezug]]*real_zu_spiel_netzbezug</f>
        <v>65</v>
      </c>
      <c r="C15" s="104">
        <f>Table8[[#This Row],[Netzbezug Real]]*'Mapping RealwerteSpielwerte'!$B$27</f>
        <v>9.75</v>
      </c>
      <c r="D15" s="110">
        <v>-2</v>
      </c>
      <c r="E15" s="126">
        <f>Table8[[#This Row],[Netzbezug Real]]*real_zu_spiel_emissionsintensität_1*years_per_round</f>
        <v>32.5</v>
      </c>
      <c r="F15" s="126">
        <f>Table8[[#This Row],[Netzbezug Real]]*real_zu_spiel_emissionsintensität_2*years_per_round</f>
        <v>16.25</v>
      </c>
      <c r="G15" s="126">
        <f>Table8[[#This Row],[Netzbezug Real]]*real_zu_spiel_emissionsintensität_3*years_per_round</f>
        <v>9.75</v>
      </c>
      <c r="H15" s="126">
        <f>Table8[[#This Row],[Netzbezug Real]]*real_zu_spiel_emissionsintensität_4*years_per_round</f>
        <v>4.875</v>
      </c>
      <c r="I15" s="136">
        <f>Table8[[#This Row],[Netzbezug Real]]*real_zu_spiel_emissionsintensität_1*years_per_round</f>
        <v>32.5</v>
      </c>
      <c r="J15" s="136">
        <f>Table8[[#This Row],[Netzbezug Real]]*real_zu_spiel_emissionsintensität_2*years_per_round</f>
        <v>16.25</v>
      </c>
      <c r="K15" s="136">
        <f>Table8[[#This Row],[Netzbezug Real]]*real_zu_spiel_emissionsintensität_3*years_per_round</f>
        <v>9.75</v>
      </c>
      <c r="L15" s="136">
        <f>Table8[[#This Row],[Netzbezug Real]]*real_zu_spiel_emissionsintensität_4*years_per_round</f>
        <v>4.875</v>
      </c>
    </row>
    <row r="16" spans="1:12" ht="22.5" customHeight="1" x14ac:dyDescent="0.25">
      <c r="A16" s="104">
        <v>14</v>
      </c>
      <c r="B16" s="104">
        <f>Table8[[#This Row],[Netzbezug]]*real_zu_spiel_netzbezug</f>
        <v>70</v>
      </c>
      <c r="C16" s="104">
        <f>Table8[[#This Row],[Netzbezug Real]]*'Mapping RealwerteSpielwerte'!$B$27</f>
        <v>10.5</v>
      </c>
      <c r="D16" s="110">
        <v>-2</v>
      </c>
      <c r="E16" s="126">
        <f>Table8[[#This Row],[Netzbezug Real]]*real_zu_spiel_emissionsintensität_1*years_per_round</f>
        <v>35</v>
      </c>
      <c r="F16" s="126">
        <f>Table8[[#This Row],[Netzbezug Real]]*real_zu_spiel_emissionsintensität_2*years_per_round</f>
        <v>17.5</v>
      </c>
      <c r="G16" s="126">
        <f>Table8[[#This Row],[Netzbezug Real]]*real_zu_spiel_emissionsintensität_3*years_per_round</f>
        <v>10.5</v>
      </c>
      <c r="H16" s="126">
        <f>Table8[[#This Row],[Netzbezug Real]]*real_zu_spiel_emissionsintensität_4*years_per_round</f>
        <v>5.25</v>
      </c>
      <c r="I16" s="136">
        <f>Table8[[#This Row],[Netzbezug Real]]*real_zu_spiel_emissionsintensität_1*years_per_round</f>
        <v>35</v>
      </c>
      <c r="J16" s="136">
        <f>Table8[[#This Row],[Netzbezug Real]]*real_zu_spiel_emissionsintensität_2*years_per_round</f>
        <v>17.5</v>
      </c>
      <c r="K16" s="136">
        <f>Table8[[#This Row],[Netzbezug Real]]*real_zu_spiel_emissionsintensität_3*years_per_round</f>
        <v>10.5</v>
      </c>
      <c r="L16" s="136">
        <f>Table8[[#This Row],[Netzbezug Real]]*real_zu_spiel_emissionsintensität_4*years_per_round</f>
        <v>5.25</v>
      </c>
    </row>
    <row r="17" spans="1:12" ht="22.5" customHeight="1" x14ac:dyDescent="0.25">
      <c r="A17" s="104">
        <v>15</v>
      </c>
      <c r="B17" s="104">
        <f>Table8[[#This Row],[Netzbezug]]*real_zu_spiel_netzbezug</f>
        <v>75</v>
      </c>
      <c r="C17" s="104">
        <f>Table8[[#This Row],[Netzbezug Real]]*'Mapping RealwerteSpielwerte'!$B$27</f>
        <v>11.25</v>
      </c>
      <c r="D17" s="110">
        <v>-2</v>
      </c>
      <c r="E17" s="126">
        <f>Table8[[#This Row],[Netzbezug Real]]*real_zu_spiel_emissionsintensität_1*years_per_round</f>
        <v>37.5</v>
      </c>
      <c r="F17" s="126">
        <f>Table8[[#This Row],[Netzbezug Real]]*real_zu_spiel_emissionsintensität_2*years_per_round</f>
        <v>18.75</v>
      </c>
      <c r="G17" s="126">
        <f>Table8[[#This Row],[Netzbezug Real]]*real_zu_spiel_emissionsintensität_3*years_per_round</f>
        <v>11.25</v>
      </c>
      <c r="H17" s="126">
        <f>Table8[[#This Row],[Netzbezug Real]]*real_zu_spiel_emissionsintensität_4*years_per_round</f>
        <v>5.625</v>
      </c>
      <c r="I17" s="136">
        <f>Table8[[#This Row],[Netzbezug Real]]*real_zu_spiel_emissionsintensität_1*years_per_round</f>
        <v>37.5</v>
      </c>
      <c r="J17" s="136">
        <f>Table8[[#This Row],[Netzbezug Real]]*real_zu_spiel_emissionsintensität_2*years_per_round</f>
        <v>18.75</v>
      </c>
      <c r="K17" s="136">
        <f>Table8[[#This Row],[Netzbezug Real]]*real_zu_spiel_emissionsintensität_3*years_per_round</f>
        <v>11.25</v>
      </c>
      <c r="L17" s="136">
        <f>Table8[[#This Row],[Netzbezug Real]]*real_zu_spiel_emissionsintensität_4*years_per_round</f>
        <v>5.625</v>
      </c>
    </row>
    <row r="18" spans="1:12" ht="22.5" customHeight="1" x14ac:dyDescent="0.25">
      <c r="A18" s="104">
        <v>16</v>
      </c>
      <c r="B18" s="104">
        <f>Table8[[#This Row],[Netzbezug]]*real_zu_spiel_netzbezug</f>
        <v>80</v>
      </c>
      <c r="C18" s="104">
        <f>Table8[[#This Row],[Netzbezug Real]]*'Mapping RealwerteSpielwerte'!$B$27</f>
        <v>12</v>
      </c>
      <c r="D18" s="110">
        <v>-2</v>
      </c>
      <c r="E18" s="126">
        <f>Table8[[#This Row],[Netzbezug Real]]*real_zu_spiel_emissionsintensität_1*years_per_round</f>
        <v>40</v>
      </c>
      <c r="F18" s="126">
        <f>Table8[[#This Row],[Netzbezug Real]]*real_zu_spiel_emissionsintensität_2*years_per_round</f>
        <v>20</v>
      </c>
      <c r="G18" s="126">
        <f>Table8[[#This Row],[Netzbezug Real]]*real_zu_spiel_emissionsintensität_3*years_per_round</f>
        <v>12</v>
      </c>
      <c r="H18" s="126">
        <f>Table8[[#This Row],[Netzbezug Real]]*real_zu_spiel_emissionsintensität_4*years_per_round</f>
        <v>6</v>
      </c>
      <c r="I18" s="136">
        <f>Table8[[#This Row],[Netzbezug Real]]*real_zu_spiel_emissionsintensität_1*years_per_round</f>
        <v>40</v>
      </c>
      <c r="J18" s="136">
        <f>Table8[[#This Row],[Netzbezug Real]]*real_zu_spiel_emissionsintensität_2*years_per_round</f>
        <v>20</v>
      </c>
      <c r="K18" s="136">
        <f>Table8[[#This Row],[Netzbezug Real]]*real_zu_spiel_emissionsintensität_3*years_per_round</f>
        <v>12</v>
      </c>
      <c r="L18" s="136">
        <f>Table8[[#This Row],[Netzbezug Real]]*real_zu_spiel_emissionsintensität_4*years_per_round</f>
        <v>6</v>
      </c>
    </row>
    <row r="19" spans="1:12" ht="22.5" customHeight="1" x14ac:dyDescent="0.25">
      <c r="A19" s="104">
        <v>17</v>
      </c>
      <c r="B19" s="104">
        <f>Table8[[#This Row],[Netzbezug]]*real_zu_spiel_netzbezug</f>
        <v>85</v>
      </c>
      <c r="C19" s="104">
        <f>Table8[[#This Row],[Netzbezug Real]]*'Mapping RealwerteSpielwerte'!$B$27</f>
        <v>12.75</v>
      </c>
      <c r="D19" s="110">
        <v>-3</v>
      </c>
      <c r="E19" s="126">
        <f>Table8[[#This Row],[Netzbezug Real]]*real_zu_spiel_emissionsintensität_1*years_per_round</f>
        <v>42.5</v>
      </c>
      <c r="F19" s="126">
        <f>Table8[[#This Row],[Netzbezug Real]]*real_zu_spiel_emissionsintensität_2*years_per_round</f>
        <v>21.25</v>
      </c>
      <c r="G19" s="126">
        <f>Table8[[#This Row],[Netzbezug Real]]*real_zu_spiel_emissionsintensität_3*years_per_round</f>
        <v>12.75</v>
      </c>
      <c r="H19" s="126">
        <f>Table8[[#This Row],[Netzbezug Real]]*real_zu_spiel_emissionsintensität_4*years_per_round</f>
        <v>6.375</v>
      </c>
      <c r="I19" s="136">
        <f>Table8[[#This Row],[Netzbezug Real]]*real_zu_spiel_emissionsintensität_1*years_per_round</f>
        <v>42.5</v>
      </c>
      <c r="J19" s="136">
        <f>Table8[[#This Row],[Netzbezug Real]]*real_zu_spiel_emissionsintensität_2*years_per_round</f>
        <v>21.25</v>
      </c>
      <c r="K19" s="136">
        <f>Table8[[#This Row],[Netzbezug Real]]*real_zu_spiel_emissionsintensität_3*years_per_round</f>
        <v>12.75</v>
      </c>
      <c r="L19" s="136">
        <f>Table8[[#This Row],[Netzbezug Real]]*real_zu_spiel_emissionsintensität_4*years_per_round</f>
        <v>6.375</v>
      </c>
    </row>
    <row r="20" spans="1:12" ht="22.5" customHeight="1" x14ac:dyDescent="0.25">
      <c r="A20" s="104">
        <v>18</v>
      </c>
      <c r="B20" s="104">
        <f>Table8[[#This Row],[Netzbezug]]*real_zu_spiel_netzbezug</f>
        <v>90</v>
      </c>
      <c r="C20" s="104">
        <f>Table8[[#This Row],[Netzbezug Real]]*'Mapping RealwerteSpielwerte'!$B$27</f>
        <v>13.5</v>
      </c>
      <c r="D20" s="110">
        <v>-3</v>
      </c>
      <c r="E20" s="126">
        <f>Table8[[#This Row],[Netzbezug Real]]*real_zu_spiel_emissionsintensität_1*years_per_round</f>
        <v>45</v>
      </c>
      <c r="F20" s="126">
        <f>Table8[[#This Row],[Netzbezug Real]]*real_zu_spiel_emissionsintensität_2*years_per_round</f>
        <v>22.5</v>
      </c>
      <c r="G20" s="126">
        <f>Table8[[#This Row],[Netzbezug Real]]*real_zu_spiel_emissionsintensität_3*years_per_round</f>
        <v>13.499999999999998</v>
      </c>
      <c r="H20" s="126">
        <f>Table8[[#This Row],[Netzbezug Real]]*real_zu_spiel_emissionsintensität_4*years_per_round</f>
        <v>6.7499999999999991</v>
      </c>
      <c r="I20" s="136">
        <f>Table8[[#This Row],[Netzbezug Real]]*real_zu_spiel_emissionsintensität_1*years_per_round</f>
        <v>45</v>
      </c>
      <c r="J20" s="136">
        <f>Table8[[#This Row],[Netzbezug Real]]*real_zu_spiel_emissionsintensität_2*years_per_round</f>
        <v>22.5</v>
      </c>
      <c r="K20" s="136">
        <f>Table8[[#This Row],[Netzbezug Real]]*real_zu_spiel_emissionsintensität_3*years_per_round</f>
        <v>13.499999999999998</v>
      </c>
      <c r="L20" s="136">
        <f>Table8[[#This Row],[Netzbezug Real]]*real_zu_spiel_emissionsintensität_4*years_per_round</f>
        <v>6.7499999999999991</v>
      </c>
    </row>
    <row r="21" spans="1:12" ht="22.5" customHeight="1" x14ac:dyDescent="0.25">
      <c r="A21" s="104">
        <v>19</v>
      </c>
      <c r="B21" s="104">
        <f>Table8[[#This Row],[Netzbezug]]*real_zu_spiel_netzbezug</f>
        <v>95</v>
      </c>
      <c r="C21" s="104">
        <f>Table8[[#This Row],[Netzbezug Real]]*'Mapping RealwerteSpielwerte'!$B$27</f>
        <v>14.25</v>
      </c>
      <c r="D21" s="110">
        <v>-3</v>
      </c>
      <c r="E21" s="126">
        <f>Table8[[#This Row],[Netzbezug Real]]*real_zu_spiel_emissionsintensität_1*years_per_round</f>
        <v>47.5</v>
      </c>
      <c r="F21" s="126">
        <f>Table8[[#This Row],[Netzbezug Real]]*real_zu_spiel_emissionsintensität_2*years_per_round</f>
        <v>23.75</v>
      </c>
      <c r="G21" s="126">
        <f>Table8[[#This Row],[Netzbezug Real]]*real_zu_spiel_emissionsintensität_3*years_per_round</f>
        <v>14.25</v>
      </c>
      <c r="H21" s="126">
        <f>Table8[[#This Row],[Netzbezug Real]]*real_zu_spiel_emissionsintensität_4*years_per_round</f>
        <v>7.125</v>
      </c>
      <c r="I21" s="136">
        <f>Table8[[#This Row],[Netzbezug Real]]*real_zu_spiel_emissionsintensität_1*years_per_round</f>
        <v>47.5</v>
      </c>
      <c r="J21" s="136">
        <f>Table8[[#This Row],[Netzbezug Real]]*real_zu_spiel_emissionsintensität_2*years_per_round</f>
        <v>23.75</v>
      </c>
      <c r="K21" s="136">
        <f>Table8[[#This Row],[Netzbezug Real]]*real_zu_spiel_emissionsintensität_3*years_per_round</f>
        <v>14.25</v>
      </c>
      <c r="L21" s="136">
        <f>Table8[[#This Row],[Netzbezug Real]]*real_zu_spiel_emissionsintensität_4*years_per_round</f>
        <v>7.125</v>
      </c>
    </row>
    <row r="22" spans="1:12" ht="22.5" customHeight="1" x14ac:dyDescent="0.25">
      <c r="A22" s="104">
        <v>20</v>
      </c>
      <c r="B22" s="104">
        <f>Table8[[#This Row],[Netzbezug]]*real_zu_spiel_netzbezug</f>
        <v>100</v>
      </c>
      <c r="C22" s="104">
        <f>Table8[[#This Row],[Netzbezug Real]]*'Mapping RealwerteSpielwerte'!$B$27</f>
        <v>15</v>
      </c>
      <c r="D22" s="110">
        <v>-3</v>
      </c>
      <c r="E22" s="126">
        <f>Table8[[#This Row],[Netzbezug Real]]*real_zu_spiel_emissionsintensität_1*years_per_round</f>
        <v>50</v>
      </c>
      <c r="F22" s="126">
        <f>Table8[[#This Row],[Netzbezug Real]]*real_zu_spiel_emissionsintensität_2*years_per_round</f>
        <v>25</v>
      </c>
      <c r="G22" s="126">
        <f>Table8[[#This Row],[Netzbezug Real]]*real_zu_spiel_emissionsintensität_3*years_per_round</f>
        <v>15</v>
      </c>
      <c r="H22" s="126">
        <f>Table8[[#This Row],[Netzbezug Real]]*real_zu_spiel_emissionsintensität_4*years_per_round</f>
        <v>7.5</v>
      </c>
      <c r="I22" s="136">
        <f>Table8[[#This Row],[Netzbezug Real]]*real_zu_spiel_emissionsintensität_1*years_per_round</f>
        <v>50</v>
      </c>
      <c r="J22" s="136">
        <f>Table8[[#This Row],[Netzbezug Real]]*real_zu_spiel_emissionsintensität_2*years_per_round</f>
        <v>25</v>
      </c>
      <c r="K22" s="136">
        <f>Table8[[#This Row],[Netzbezug Real]]*real_zu_spiel_emissionsintensität_3*years_per_round</f>
        <v>15</v>
      </c>
      <c r="L22" s="136">
        <f>Table8[[#This Row],[Netzbezug Real]]*real_zu_spiel_emissionsintensität_4*years_per_round</f>
        <v>7.5</v>
      </c>
    </row>
    <row r="23" spans="1:12" ht="15.75" customHeight="1" x14ac:dyDescent="0.25">
      <c r="A23" s="104">
        <v>21</v>
      </c>
      <c r="B23" s="104">
        <f>Table8[[#This Row],[Netzbezug]]*real_zu_spiel_netzbezug</f>
        <v>105</v>
      </c>
      <c r="C23" s="104">
        <f>Table8[[#This Row],[Netzbezug Real]]*'Mapping RealwerteSpielwerte'!$B$27</f>
        <v>15.75</v>
      </c>
      <c r="D23" s="110">
        <v>-3</v>
      </c>
      <c r="E23" s="126">
        <f>Table8[[#This Row],[Netzbezug Real]]*real_zu_spiel_emissionsintensität_1*years_per_round</f>
        <v>52.5</v>
      </c>
      <c r="F23" s="126">
        <f>Table8[[#This Row],[Netzbezug Real]]*real_zu_spiel_emissionsintensität_2*years_per_round</f>
        <v>26.25</v>
      </c>
      <c r="G23" s="126">
        <f>Table8[[#This Row],[Netzbezug Real]]*real_zu_spiel_emissionsintensität_3*years_per_round</f>
        <v>15.75</v>
      </c>
      <c r="H23" s="126">
        <f>Table8[[#This Row],[Netzbezug Real]]*real_zu_spiel_emissionsintensität_4*years_per_round</f>
        <v>7.875</v>
      </c>
      <c r="I23" s="136">
        <f>Table8[[#This Row],[Netzbezug Real]]*real_zu_spiel_emissionsintensität_1*years_per_round</f>
        <v>52.5</v>
      </c>
      <c r="J23" s="136">
        <f>Table8[[#This Row],[Netzbezug Real]]*real_zu_spiel_emissionsintensität_2*years_per_round</f>
        <v>26.25</v>
      </c>
      <c r="K23" s="136">
        <f>Table8[[#This Row],[Netzbezug Real]]*real_zu_spiel_emissionsintensität_3*years_per_round</f>
        <v>15.75</v>
      </c>
      <c r="L23" s="136">
        <f>Table8[[#This Row],[Netzbezug Real]]*real_zu_spiel_emissionsintensität_4*years_per_round</f>
        <v>7.875</v>
      </c>
    </row>
    <row r="24" spans="1:12" ht="15.75" customHeight="1" x14ac:dyDescent="0.25">
      <c r="A24" s="104">
        <v>22</v>
      </c>
      <c r="B24" s="104">
        <f>Table8[[#This Row],[Netzbezug]]*real_zu_spiel_netzbezug</f>
        <v>110</v>
      </c>
      <c r="C24" s="104">
        <f>Table8[[#This Row],[Netzbezug Real]]*'Mapping RealwerteSpielwerte'!$B$27</f>
        <v>16.5</v>
      </c>
      <c r="D24" s="110">
        <v>-3</v>
      </c>
      <c r="E24" s="126">
        <f>Table8[[#This Row],[Netzbezug Real]]*real_zu_spiel_emissionsintensität_1*years_per_round</f>
        <v>55</v>
      </c>
      <c r="F24" s="126">
        <f>Table8[[#This Row],[Netzbezug Real]]*real_zu_spiel_emissionsintensität_2*years_per_round</f>
        <v>27.5</v>
      </c>
      <c r="G24" s="126">
        <f>Table8[[#This Row],[Netzbezug Real]]*real_zu_spiel_emissionsintensität_3*years_per_round</f>
        <v>16.5</v>
      </c>
      <c r="H24" s="126">
        <f>Table8[[#This Row],[Netzbezug Real]]*real_zu_spiel_emissionsintensität_4*years_per_round</f>
        <v>8.25</v>
      </c>
      <c r="I24" s="136">
        <f>Table8[[#This Row],[Netzbezug Real]]*real_zu_spiel_emissionsintensität_1*years_per_round</f>
        <v>55</v>
      </c>
      <c r="J24" s="136">
        <f>Table8[[#This Row],[Netzbezug Real]]*real_zu_spiel_emissionsintensität_2*years_per_round</f>
        <v>27.5</v>
      </c>
      <c r="K24" s="136">
        <f>Table8[[#This Row],[Netzbezug Real]]*real_zu_spiel_emissionsintensität_3*years_per_round</f>
        <v>16.5</v>
      </c>
      <c r="L24" s="136">
        <f>Table8[[#This Row],[Netzbezug Real]]*real_zu_spiel_emissionsintensität_4*years_per_round</f>
        <v>8.25</v>
      </c>
    </row>
    <row r="25" spans="1:12" ht="15.75" customHeight="1" x14ac:dyDescent="0.25">
      <c r="A25" s="104">
        <v>23</v>
      </c>
      <c r="B25" s="104">
        <f>Table8[[#This Row],[Netzbezug]]*real_zu_spiel_netzbezug</f>
        <v>115</v>
      </c>
      <c r="C25" s="104">
        <f>Table8[[#This Row],[Netzbezug Real]]*'Mapping RealwerteSpielwerte'!$B$27</f>
        <v>17.25</v>
      </c>
      <c r="D25" s="110">
        <v>-3</v>
      </c>
      <c r="E25" s="126">
        <f>Table8[[#This Row],[Netzbezug Real]]*real_zu_spiel_emissionsintensität_1*years_per_round</f>
        <v>57.5</v>
      </c>
      <c r="F25" s="126">
        <f>Table8[[#This Row],[Netzbezug Real]]*real_zu_spiel_emissionsintensität_2*years_per_round</f>
        <v>28.75</v>
      </c>
      <c r="G25" s="126">
        <f>Table8[[#This Row],[Netzbezug Real]]*real_zu_spiel_emissionsintensität_3*years_per_round</f>
        <v>17.25</v>
      </c>
      <c r="H25" s="126">
        <f>Table8[[#This Row],[Netzbezug Real]]*real_zu_spiel_emissionsintensität_4*years_per_round</f>
        <v>8.625</v>
      </c>
      <c r="I25" s="136">
        <f>Table8[[#This Row],[Netzbezug Real]]*real_zu_spiel_emissionsintensität_1*years_per_round</f>
        <v>57.5</v>
      </c>
      <c r="J25" s="136">
        <f>Table8[[#This Row],[Netzbezug Real]]*real_zu_spiel_emissionsintensität_2*years_per_round</f>
        <v>28.75</v>
      </c>
      <c r="K25" s="136">
        <f>Table8[[#This Row],[Netzbezug Real]]*real_zu_spiel_emissionsintensität_3*years_per_round</f>
        <v>17.25</v>
      </c>
      <c r="L25" s="136">
        <f>Table8[[#This Row],[Netzbezug Real]]*real_zu_spiel_emissionsintensität_4*years_per_round</f>
        <v>8.625</v>
      </c>
    </row>
    <row r="26" spans="1:12" ht="15.75" customHeight="1" x14ac:dyDescent="0.25">
      <c r="A26" s="104">
        <v>24</v>
      </c>
      <c r="B26" s="104">
        <f>Table8[[#This Row],[Netzbezug]]*real_zu_spiel_netzbezug</f>
        <v>120</v>
      </c>
      <c r="C26" s="104">
        <f>Table8[[#This Row],[Netzbezug Real]]*'Mapping RealwerteSpielwerte'!$B$27</f>
        <v>18</v>
      </c>
      <c r="D26" s="110">
        <v>-4</v>
      </c>
      <c r="E26" s="126">
        <f>Table8[[#This Row],[Netzbezug Real]]*real_zu_spiel_emissionsintensität_1*years_per_round</f>
        <v>60</v>
      </c>
      <c r="F26" s="126">
        <f>Table8[[#This Row],[Netzbezug Real]]*real_zu_spiel_emissionsintensität_2*years_per_round</f>
        <v>30</v>
      </c>
      <c r="G26" s="126">
        <f>Table8[[#This Row],[Netzbezug Real]]*real_zu_spiel_emissionsintensität_3*years_per_round</f>
        <v>18</v>
      </c>
      <c r="H26" s="126">
        <f>Table8[[#This Row],[Netzbezug Real]]*real_zu_spiel_emissionsintensität_4*years_per_round</f>
        <v>9</v>
      </c>
      <c r="I26" s="136">
        <f>Table8[[#This Row],[Netzbezug Real]]*real_zu_spiel_emissionsintensität_1*years_per_round</f>
        <v>60</v>
      </c>
      <c r="J26" s="136">
        <f>Table8[[#This Row],[Netzbezug Real]]*real_zu_spiel_emissionsintensität_2*years_per_round</f>
        <v>30</v>
      </c>
      <c r="K26" s="136">
        <f>Table8[[#This Row],[Netzbezug Real]]*real_zu_spiel_emissionsintensität_3*years_per_round</f>
        <v>18</v>
      </c>
      <c r="L26" s="136">
        <f>Table8[[#This Row],[Netzbezug Real]]*real_zu_spiel_emissionsintensität_4*years_per_round</f>
        <v>9</v>
      </c>
    </row>
    <row r="27" spans="1:12" ht="15.75" customHeight="1" x14ac:dyDescent="0.25">
      <c r="A27" s="104">
        <v>25</v>
      </c>
      <c r="B27" s="104">
        <f>Table8[[#This Row],[Netzbezug]]*real_zu_spiel_netzbezug</f>
        <v>125</v>
      </c>
      <c r="C27" s="104">
        <f>Table8[[#This Row],[Netzbezug Real]]*'Mapping RealwerteSpielwerte'!$B$27</f>
        <v>18.75</v>
      </c>
      <c r="D27" s="110">
        <v>-4</v>
      </c>
      <c r="E27" s="126">
        <f>Table8[[#This Row],[Netzbezug Real]]*real_zu_spiel_emissionsintensität_1*years_per_round</f>
        <v>62.5</v>
      </c>
      <c r="F27" s="126">
        <f>Table8[[#This Row],[Netzbezug Real]]*real_zu_spiel_emissionsintensität_2*years_per_round</f>
        <v>31.25</v>
      </c>
      <c r="G27" s="126">
        <f>Table8[[#This Row],[Netzbezug Real]]*real_zu_spiel_emissionsintensität_3*years_per_round</f>
        <v>18.75</v>
      </c>
      <c r="H27" s="126">
        <f>Table8[[#This Row],[Netzbezug Real]]*real_zu_spiel_emissionsintensität_4*years_per_round</f>
        <v>9.375</v>
      </c>
      <c r="I27" s="136">
        <f>Table8[[#This Row],[Netzbezug Real]]*real_zu_spiel_emissionsintensität_1*years_per_round</f>
        <v>62.5</v>
      </c>
      <c r="J27" s="136">
        <f>Table8[[#This Row],[Netzbezug Real]]*real_zu_spiel_emissionsintensität_2*years_per_round</f>
        <v>31.25</v>
      </c>
      <c r="K27" s="136">
        <f>Table8[[#This Row],[Netzbezug Real]]*real_zu_spiel_emissionsintensität_3*years_per_round</f>
        <v>18.75</v>
      </c>
      <c r="L27" s="136">
        <f>Table8[[#This Row],[Netzbezug Real]]*real_zu_spiel_emissionsintensität_4*years_per_round</f>
        <v>9.375</v>
      </c>
    </row>
    <row r="28" spans="1:12" ht="15.75" customHeight="1" x14ac:dyDescent="0.25">
      <c r="A28" s="104">
        <v>26</v>
      </c>
      <c r="B28" s="104">
        <f>Table8[[#This Row],[Netzbezug]]*real_zu_spiel_netzbezug</f>
        <v>130</v>
      </c>
      <c r="C28" s="104">
        <f>Table8[[#This Row],[Netzbezug Real]]*'Mapping RealwerteSpielwerte'!$B$27</f>
        <v>19.5</v>
      </c>
      <c r="D28" s="110">
        <v>-4</v>
      </c>
      <c r="E28" s="126">
        <f>Table8[[#This Row],[Netzbezug Real]]*real_zu_spiel_emissionsintensität_1*years_per_round</f>
        <v>65</v>
      </c>
      <c r="F28" s="126">
        <f>Table8[[#This Row],[Netzbezug Real]]*real_zu_spiel_emissionsintensität_2*years_per_round</f>
        <v>32.5</v>
      </c>
      <c r="G28" s="126">
        <f>Table8[[#This Row],[Netzbezug Real]]*real_zu_spiel_emissionsintensität_3*years_per_round</f>
        <v>19.5</v>
      </c>
      <c r="H28" s="126">
        <f>Table8[[#This Row],[Netzbezug Real]]*real_zu_spiel_emissionsintensität_4*years_per_round</f>
        <v>9.75</v>
      </c>
      <c r="I28" s="136">
        <f>Table8[[#This Row],[Netzbezug Real]]*real_zu_spiel_emissionsintensität_1*years_per_round</f>
        <v>65</v>
      </c>
      <c r="J28" s="136">
        <f>Table8[[#This Row],[Netzbezug Real]]*real_zu_spiel_emissionsintensität_2*years_per_round</f>
        <v>32.5</v>
      </c>
      <c r="K28" s="136">
        <f>Table8[[#This Row],[Netzbezug Real]]*real_zu_spiel_emissionsintensität_3*years_per_round</f>
        <v>19.5</v>
      </c>
      <c r="L28" s="136">
        <f>Table8[[#This Row],[Netzbezug Real]]*real_zu_spiel_emissionsintensität_4*years_per_round</f>
        <v>9.75</v>
      </c>
    </row>
    <row r="29" spans="1:12" ht="15.75" customHeight="1" x14ac:dyDescent="0.25">
      <c r="A29" s="104">
        <v>27</v>
      </c>
      <c r="B29" s="104">
        <f>Table8[[#This Row],[Netzbezug]]*real_zu_spiel_netzbezug</f>
        <v>135</v>
      </c>
      <c r="C29" s="104">
        <f>Table8[[#This Row],[Netzbezug Real]]*'Mapping RealwerteSpielwerte'!$B$27</f>
        <v>20.25</v>
      </c>
      <c r="D29" s="110">
        <v>-4</v>
      </c>
      <c r="E29" s="126">
        <f>Table8[[#This Row],[Netzbezug Real]]*real_zu_spiel_emissionsintensität_1*years_per_round</f>
        <v>67.5</v>
      </c>
      <c r="F29" s="126">
        <f>Table8[[#This Row],[Netzbezug Real]]*real_zu_spiel_emissionsintensität_2*years_per_round</f>
        <v>33.75</v>
      </c>
      <c r="G29" s="126">
        <f>Table8[[#This Row],[Netzbezug Real]]*real_zu_spiel_emissionsintensität_3*years_per_round</f>
        <v>20.25</v>
      </c>
      <c r="H29" s="126">
        <f>Table8[[#This Row],[Netzbezug Real]]*real_zu_spiel_emissionsintensität_4*years_per_round</f>
        <v>10.125</v>
      </c>
      <c r="I29" s="136">
        <f>Table8[[#This Row],[Netzbezug Real]]*real_zu_spiel_emissionsintensität_1*years_per_round</f>
        <v>67.5</v>
      </c>
      <c r="J29" s="136">
        <f>Table8[[#This Row],[Netzbezug Real]]*real_zu_spiel_emissionsintensität_2*years_per_round</f>
        <v>33.75</v>
      </c>
      <c r="K29" s="136">
        <f>Table8[[#This Row],[Netzbezug Real]]*real_zu_spiel_emissionsintensität_3*years_per_round</f>
        <v>20.25</v>
      </c>
      <c r="L29" s="136">
        <f>Table8[[#This Row],[Netzbezug Real]]*real_zu_spiel_emissionsintensität_4*years_per_round</f>
        <v>10.125</v>
      </c>
    </row>
    <row r="30" spans="1:12" ht="15.75" customHeight="1" x14ac:dyDescent="0.25">
      <c r="A30" s="104">
        <v>28</v>
      </c>
      <c r="B30" s="104">
        <f>Table8[[#This Row],[Netzbezug]]*real_zu_spiel_netzbezug</f>
        <v>140</v>
      </c>
      <c r="C30" s="104">
        <f>Table8[[#This Row],[Netzbezug Real]]*'Mapping RealwerteSpielwerte'!$B$27</f>
        <v>21</v>
      </c>
      <c r="D30" s="110">
        <v>-4</v>
      </c>
      <c r="E30" s="126">
        <f>Table8[[#This Row],[Netzbezug Real]]*real_zu_spiel_emissionsintensität_1*years_per_round</f>
        <v>70</v>
      </c>
      <c r="F30" s="126">
        <f>Table8[[#This Row],[Netzbezug Real]]*real_zu_spiel_emissionsintensität_2*years_per_round</f>
        <v>35</v>
      </c>
      <c r="G30" s="126">
        <f>Table8[[#This Row],[Netzbezug Real]]*real_zu_spiel_emissionsintensität_3*years_per_round</f>
        <v>21</v>
      </c>
      <c r="H30" s="126">
        <f>Table8[[#This Row],[Netzbezug Real]]*real_zu_spiel_emissionsintensität_4*years_per_round</f>
        <v>10.5</v>
      </c>
      <c r="I30" s="136">
        <f>Table8[[#This Row],[Netzbezug Real]]*real_zu_spiel_emissionsintensität_1*years_per_round</f>
        <v>70</v>
      </c>
      <c r="J30" s="136">
        <f>Table8[[#This Row],[Netzbezug Real]]*real_zu_spiel_emissionsintensität_2*years_per_round</f>
        <v>35</v>
      </c>
      <c r="K30" s="136">
        <f>Table8[[#This Row],[Netzbezug Real]]*real_zu_spiel_emissionsintensität_3*years_per_round</f>
        <v>21</v>
      </c>
      <c r="L30" s="136">
        <f>Table8[[#This Row],[Netzbezug Real]]*real_zu_spiel_emissionsintensität_4*years_per_round</f>
        <v>10.5</v>
      </c>
    </row>
    <row r="31" spans="1:12" ht="15.75" customHeight="1" x14ac:dyDescent="0.25">
      <c r="A31" s="104">
        <v>29</v>
      </c>
      <c r="B31" s="104">
        <f>Table8[[#This Row],[Netzbezug]]*real_zu_spiel_netzbezug</f>
        <v>145</v>
      </c>
      <c r="C31" s="104">
        <f>Table8[[#This Row],[Netzbezug Real]]*'Mapping RealwerteSpielwerte'!$B$27</f>
        <v>21.75</v>
      </c>
      <c r="D31" s="110">
        <v>-4</v>
      </c>
      <c r="E31" s="126">
        <f>Table8[[#This Row],[Netzbezug Real]]*real_zu_spiel_emissionsintensität_1*years_per_round</f>
        <v>72.5</v>
      </c>
      <c r="F31" s="126">
        <f>Table8[[#This Row],[Netzbezug Real]]*real_zu_spiel_emissionsintensität_2*years_per_round</f>
        <v>36.25</v>
      </c>
      <c r="G31" s="126">
        <f>Table8[[#This Row],[Netzbezug Real]]*real_zu_spiel_emissionsintensität_3*years_per_round</f>
        <v>21.75</v>
      </c>
      <c r="H31" s="126">
        <f>Table8[[#This Row],[Netzbezug Real]]*real_zu_spiel_emissionsintensität_4*years_per_round</f>
        <v>10.875</v>
      </c>
      <c r="I31" s="136">
        <f>Table8[[#This Row],[Netzbezug Real]]*real_zu_spiel_emissionsintensität_1*years_per_round</f>
        <v>72.5</v>
      </c>
      <c r="J31" s="136">
        <f>Table8[[#This Row],[Netzbezug Real]]*real_zu_spiel_emissionsintensität_2*years_per_round</f>
        <v>36.25</v>
      </c>
      <c r="K31" s="136">
        <f>Table8[[#This Row],[Netzbezug Real]]*real_zu_spiel_emissionsintensität_3*years_per_round</f>
        <v>21.75</v>
      </c>
      <c r="L31" s="136">
        <f>Table8[[#This Row],[Netzbezug Real]]*real_zu_spiel_emissionsintensität_4*years_per_round</f>
        <v>10.875</v>
      </c>
    </row>
    <row r="32" spans="1:12" ht="15.75" customHeight="1" x14ac:dyDescent="0.25">
      <c r="A32" s="104">
        <v>30</v>
      </c>
      <c r="B32" s="104">
        <f>Table8[[#This Row],[Netzbezug]]*real_zu_spiel_netzbezug</f>
        <v>150</v>
      </c>
      <c r="C32" s="104">
        <f>Table8[[#This Row],[Netzbezug Real]]*'Mapping RealwerteSpielwerte'!$B$27</f>
        <v>22.5</v>
      </c>
      <c r="D32" s="110">
        <v>-5</v>
      </c>
      <c r="E32" s="126">
        <f>Table8[[#This Row],[Netzbezug Real]]*real_zu_spiel_emissionsintensität_1*years_per_round</f>
        <v>75</v>
      </c>
      <c r="F32" s="126">
        <f>Table8[[#This Row],[Netzbezug Real]]*real_zu_spiel_emissionsintensität_2*years_per_round</f>
        <v>37.5</v>
      </c>
      <c r="G32" s="126">
        <f>Table8[[#This Row],[Netzbezug Real]]*real_zu_spiel_emissionsintensität_3*years_per_round</f>
        <v>22.5</v>
      </c>
      <c r="H32" s="126">
        <f>Table8[[#This Row],[Netzbezug Real]]*real_zu_spiel_emissionsintensität_4*years_per_round</f>
        <v>11.25</v>
      </c>
      <c r="I32" s="136">
        <f>Table8[[#This Row],[Netzbezug Real]]*real_zu_spiel_emissionsintensität_1*years_per_round</f>
        <v>75</v>
      </c>
      <c r="J32" s="136">
        <f>Table8[[#This Row],[Netzbezug Real]]*real_zu_spiel_emissionsintensität_2*years_per_round</f>
        <v>37.5</v>
      </c>
      <c r="K32" s="136">
        <f>Table8[[#This Row],[Netzbezug Real]]*real_zu_spiel_emissionsintensität_3*years_per_round</f>
        <v>22.5</v>
      </c>
      <c r="L32" s="136">
        <f>Table8[[#This Row],[Netzbezug Real]]*real_zu_spiel_emissionsintensität_4*years_per_round</f>
        <v>11.25</v>
      </c>
    </row>
    <row r="33" spans="1:12" ht="15.75" customHeight="1" x14ac:dyDescent="0.25">
      <c r="A33" s="104">
        <v>31</v>
      </c>
      <c r="B33" s="104">
        <f>Table8[[#This Row],[Netzbezug]]*real_zu_spiel_netzbezug</f>
        <v>155</v>
      </c>
      <c r="C33" s="104">
        <f>Table8[[#This Row],[Netzbezug Real]]*'Mapping RealwerteSpielwerte'!$B$27</f>
        <v>23.25</v>
      </c>
      <c r="D33" s="110">
        <v>-5</v>
      </c>
      <c r="E33" s="126">
        <f>Table8[[#This Row],[Netzbezug Real]]*real_zu_spiel_emissionsintensität_1*years_per_round</f>
        <v>77.5</v>
      </c>
      <c r="F33" s="126">
        <f>Table8[[#This Row],[Netzbezug Real]]*real_zu_spiel_emissionsintensität_2*years_per_round</f>
        <v>38.75</v>
      </c>
      <c r="G33" s="126">
        <f>Table8[[#This Row],[Netzbezug Real]]*real_zu_spiel_emissionsintensität_3*years_per_round</f>
        <v>23.249999999999996</v>
      </c>
      <c r="H33" s="126">
        <f>Table8[[#This Row],[Netzbezug Real]]*real_zu_spiel_emissionsintensität_4*years_per_round</f>
        <v>11.624999999999998</v>
      </c>
      <c r="I33" s="136">
        <f>Table8[[#This Row],[Netzbezug Real]]*real_zu_spiel_emissionsintensität_1*years_per_round</f>
        <v>77.5</v>
      </c>
      <c r="J33" s="136">
        <f>Table8[[#This Row],[Netzbezug Real]]*real_zu_spiel_emissionsintensität_2*years_per_round</f>
        <v>38.75</v>
      </c>
      <c r="K33" s="136">
        <f>Table8[[#This Row],[Netzbezug Real]]*real_zu_spiel_emissionsintensität_3*years_per_round</f>
        <v>23.249999999999996</v>
      </c>
      <c r="L33" s="136">
        <f>Table8[[#This Row],[Netzbezug Real]]*real_zu_spiel_emissionsintensität_4*years_per_round</f>
        <v>11.624999999999998</v>
      </c>
    </row>
    <row r="34" spans="1:12" ht="15.75" customHeight="1" x14ac:dyDescent="0.25">
      <c r="A34" s="104">
        <v>32</v>
      </c>
      <c r="B34" s="104">
        <f>Table8[[#This Row],[Netzbezug]]*real_zu_spiel_netzbezug</f>
        <v>160</v>
      </c>
      <c r="C34" s="104">
        <f>Table8[[#This Row],[Netzbezug Real]]*'Mapping RealwerteSpielwerte'!$B$27</f>
        <v>24</v>
      </c>
      <c r="D34" s="110">
        <v>-5</v>
      </c>
      <c r="E34" s="126">
        <f>Table8[[#This Row],[Netzbezug Real]]*real_zu_spiel_emissionsintensität_1*years_per_round</f>
        <v>80</v>
      </c>
      <c r="F34" s="126">
        <f>Table8[[#This Row],[Netzbezug Real]]*real_zu_spiel_emissionsintensität_2*years_per_round</f>
        <v>40</v>
      </c>
      <c r="G34" s="126">
        <f>Table8[[#This Row],[Netzbezug Real]]*real_zu_spiel_emissionsintensität_3*years_per_round</f>
        <v>24</v>
      </c>
      <c r="H34" s="126">
        <f>Table8[[#This Row],[Netzbezug Real]]*real_zu_spiel_emissionsintensität_4*years_per_round</f>
        <v>12</v>
      </c>
      <c r="I34" s="136">
        <f>Table8[[#This Row],[Netzbezug Real]]*real_zu_spiel_emissionsintensität_1*years_per_round</f>
        <v>80</v>
      </c>
      <c r="J34" s="136">
        <f>Table8[[#This Row],[Netzbezug Real]]*real_zu_spiel_emissionsintensität_2*years_per_round</f>
        <v>40</v>
      </c>
      <c r="K34" s="136">
        <f>Table8[[#This Row],[Netzbezug Real]]*real_zu_spiel_emissionsintensität_3*years_per_round</f>
        <v>24</v>
      </c>
      <c r="L34" s="136">
        <f>Table8[[#This Row],[Netzbezug Real]]*real_zu_spiel_emissionsintensität_4*years_per_round</f>
        <v>12</v>
      </c>
    </row>
    <row r="35" spans="1:12" ht="15.75" customHeight="1" x14ac:dyDescent="0.25">
      <c r="A35" s="104">
        <v>33</v>
      </c>
      <c r="B35" s="104">
        <f>Table8[[#This Row],[Netzbezug]]*real_zu_spiel_netzbezug</f>
        <v>165</v>
      </c>
      <c r="C35" s="104">
        <f>Table8[[#This Row],[Netzbezug Real]]*'Mapping RealwerteSpielwerte'!$B$27</f>
        <v>24.75</v>
      </c>
      <c r="D35" s="110">
        <v>-5</v>
      </c>
      <c r="E35" s="126">
        <f>Table8[[#This Row],[Netzbezug Real]]*real_zu_spiel_emissionsintensität_1*years_per_round</f>
        <v>82.5</v>
      </c>
      <c r="F35" s="126">
        <f>Table8[[#This Row],[Netzbezug Real]]*real_zu_spiel_emissionsintensität_2*years_per_round</f>
        <v>41.25</v>
      </c>
      <c r="G35" s="126">
        <f>Table8[[#This Row],[Netzbezug Real]]*real_zu_spiel_emissionsintensität_3*years_per_round</f>
        <v>24.75</v>
      </c>
      <c r="H35" s="126">
        <f>Table8[[#This Row],[Netzbezug Real]]*real_zu_spiel_emissionsintensität_4*years_per_round</f>
        <v>12.375</v>
      </c>
      <c r="I35" s="136">
        <f>Table8[[#This Row],[Netzbezug Real]]*real_zu_spiel_emissionsintensität_1*years_per_round</f>
        <v>82.5</v>
      </c>
      <c r="J35" s="136">
        <f>Table8[[#This Row],[Netzbezug Real]]*real_zu_spiel_emissionsintensität_2*years_per_round</f>
        <v>41.25</v>
      </c>
      <c r="K35" s="136">
        <f>Table8[[#This Row],[Netzbezug Real]]*real_zu_spiel_emissionsintensität_3*years_per_round</f>
        <v>24.75</v>
      </c>
      <c r="L35" s="136">
        <f>Table8[[#This Row],[Netzbezug Real]]*real_zu_spiel_emissionsintensität_4*years_per_round</f>
        <v>12.375</v>
      </c>
    </row>
    <row r="36" spans="1:12" ht="15.75" customHeight="1" x14ac:dyDescent="0.25">
      <c r="A36" s="104">
        <v>34</v>
      </c>
      <c r="B36" s="104">
        <f>Table8[[#This Row],[Netzbezug]]*real_zu_spiel_netzbezug</f>
        <v>170</v>
      </c>
      <c r="C36" s="104">
        <f>Table8[[#This Row],[Netzbezug Real]]*'Mapping RealwerteSpielwerte'!$B$27</f>
        <v>25.5</v>
      </c>
      <c r="D36" s="110">
        <v>-5</v>
      </c>
      <c r="E36" s="126">
        <f>Table8[[#This Row],[Netzbezug Real]]*real_zu_spiel_emissionsintensität_1*years_per_round</f>
        <v>85</v>
      </c>
      <c r="F36" s="126">
        <f>Table8[[#This Row],[Netzbezug Real]]*real_zu_spiel_emissionsintensität_2*years_per_round</f>
        <v>42.5</v>
      </c>
      <c r="G36" s="126">
        <f>Table8[[#This Row],[Netzbezug Real]]*real_zu_spiel_emissionsintensität_3*years_per_round</f>
        <v>25.5</v>
      </c>
      <c r="H36" s="126">
        <f>Table8[[#This Row],[Netzbezug Real]]*real_zu_spiel_emissionsintensität_4*years_per_round</f>
        <v>12.75</v>
      </c>
      <c r="I36" s="136">
        <f>Table8[[#This Row],[Netzbezug Real]]*real_zu_spiel_emissionsintensität_1*years_per_round</f>
        <v>85</v>
      </c>
      <c r="J36" s="136">
        <f>Table8[[#This Row],[Netzbezug Real]]*real_zu_spiel_emissionsintensität_2*years_per_round</f>
        <v>42.5</v>
      </c>
      <c r="K36" s="136">
        <f>Table8[[#This Row],[Netzbezug Real]]*real_zu_spiel_emissionsintensität_3*years_per_round</f>
        <v>25.5</v>
      </c>
      <c r="L36" s="136">
        <f>Table8[[#This Row],[Netzbezug Real]]*real_zu_spiel_emissionsintensität_4*years_per_round</f>
        <v>12.75</v>
      </c>
    </row>
    <row r="37" spans="1:12" ht="15.75" customHeight="1" x14ac:dyDescent="0.25">
      <c r="A37" s="104">
        <v>35</v>
      </c>
      <c r="B37" s="104">
        <f>Table8[[#This Row],[Netzbezug]]*real_zu_spiel_netzbezug</f>
        <v>175</v>
      </c>
      <c r="C37" s="104">
        <f>Table8[[#This Row],[Netzbezug Real]]*'Mapping RealwerteSpielwerte'!$B$27</f>
        <v>26.25</v>
      </c>
      <c r="D37" s="110">
        <v>-5</v>
      </c>
      <c r="E37" s="126">
        <f>Table8[[#This Row],[Netzbezug Real]]*real_zu_spiel_emissionsintensität_1*years_per_round</f>
        <v>87.5</v>
      </c>
      <c r="F37" s="126">
        <f>Table8[[#This Row],[Netzbezug Real]]*real_zu_spiel_emissionsintensität_2*years_per_round</f>
        <v>43.75</v>
      </c>
      <c r="G37" s="126">
        <f>Table8[[#This Row],[Netzbezug Real]]*real_zu_spiel_emissionsintensität_3*years_per_round</f>
        <v>26.25</v>
      </c>
      <c r="H37" s="126">
        <f>Table8[[#This Row],[Netzbezug Real]]*real_zu_spiel_emissionsintensität_4*years_per_round</f>
        <v>13.125</v>
      </c>
      <c r="I37" s="136">
        <f>Table8[[#This Row],[Netzbezug Real]]*real_zu_spiel_emissionsintensität_1*years_per_round</f>
        <v>87.5</v>
      </c>
      <c r="J37" s="136">
        <f>Table8[[#This Row],[Netzbezug Real]]*real_zu_spiel_emissionsintensität_2*years_per_round</f>
        <v>43.75</v>
      </c>
      <c r="K37" s="136">
        <f>Table8[[#This Row],[Netzbezug Real]]*real_zu_spiel_emissionsintensität_3*years_per_round</f>
        <v>26.25</v>
      </c>
      <c r="L37" s="136">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schneids</dc:creator>
  <cp:lastModifiedBy>Simon Schneider</cp:lastModifiedBy>
  <dcterms:created xsi:type="dcterms:W3CDTF">2026-08-13T10:16:10Z</dcterms:created>
  <dcterms:modified xsi:type="dcterms:W3CDTF">2026-08-13T10:16:10Z</dcterms:modified>
</cp:coreProperties>
</file>