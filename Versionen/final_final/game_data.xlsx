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ministrator\Documents\_Privat\Coding\KlimSta\Versionen\aug-14\"/>
    </mc:Choice>
  </mc:AlternateContent>
  <xr:revisionPtr revIDLastSave="0" documentId="13_ncr:1_{63A1FADE-E50F-4C6C-B5E5-1111E92B6F82}" xr6:coauthVersionLast="47" xr6:coauthVersionMax="47" xr10:uidLastSave="{00000000-0000-0000-0000-000000000000}"/>
  <bookViews>
    <workbookView xWindow="-110" yWindow="-110" windowWidth="19420" windowHeight="1042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D9" i="3"/>
  <c r="D12" i="3"/>
  <c r="D6" i="3"/>
  <c r="H24" i="2"/>
  <c r="H21" i="2"/>
  <c r="J12" i="1" l="1"/>
  <c r="J17" i="1"/>
  <c r="J18" i="1"/>
  <c r="I12" i="1"/>
  <c r="I17" i="1"/>
  <c r="I18" i="1"/>
  <c r="H12" i="1"/>
  <c r="H18" i="1"/>
  <c r="H17" i="1"/>
  <c r="G17" i="1"/>
  <c r="G18" i="1"/>
  <c r="G6" i="1"/>
  <c r="G12" i="1"/>
  <c r="G56" i="1"/>
  <c r="G36" i="1"/>
  <c r="G70" i="1"/>
  <c r="G22" i="1"/>
  <c r="G4" i="1"/>
  <c r="G72" i="1"/>
  <c r="G58" i="1"/>
  <c r="G42" i="1"/>
  <c r="G28" i="1"/>
  <c r="G9"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1" i="1"/>
  <c r="G57" i="1"/>
  <c r="G40" i="1"/>
  <c r="G26" i="1"/>
  <c r="G5" i="1"/>
  <c r="G54" i="1"/>
  <c r="G64" i="1"/>
  <c r="G33" i="1"/>
  <c r="G19" i="1"/>
  <c r="G35" i="1"/>
  <c r="G32" i="1"/>
  <c r="G21" i="1"/>
  <c r="G63" i="1"/>
  <c r="G47" i="1"/>
  <c r="G16" i="1"/>
  <c r="G75" i="1"/>
  <c r="G46" i="1"/>
  <c r="G14" i="1"/>
  <c r="G68" i="1"/>
  <c r="G2" i="1"/>
  <c r="G49" i="1"/>
  <c r="G61" i="1"/>
  <c r="G30" i="1"/>
  <c r="J69" i="1"/>
  <c r="J61" i="1"/>
  <c r="J53" i="1"/>
  <c r="J45" i="1"/>
  <c r="J37" i="1"/>
  <c r="J29" i="1"/>
  <c r="J21" i="1"/>
  <c r="J10" i="1"/>
  <c r="J2" i="1"/>
  <c r="J68" i="1"/>
  <c r="J60" i="1"/>
  <c r="J52" i="1"/>
  <c r="J44" i="1"/>
  <c r="J36" i="1"/>
  <c r="J28" i="1"/>
  <c r="J20" i="1"/>
  <c r="J9" i="1"/>
  <c r="J73" i="1"/>
  <c r="J65" i="1"/>
  <c r="J57" i="1"/>
  <c r="J49" i="1"/>
  <c r="J41" i="1"/>
  <c r="J33" i="1"/>
  <c r="J25" i="1"/>
  <c r="J15" i="1"/>
  <c r="J6" i="1"/>
  <c r="J70" i="1"/>
  <c r="J56" i="1"/>
  <c r="J43" i="1"/>
  <c r="J31" i="1"/>
  <c r="J16" i="1"/>
  <c r="J3" i="1"/>
  <c r="J66" i="1"/>
  <c r="J54" i="1"/>
  <c r="J40" i="1"/>
  <c r="J27" i="1"/>
  <c r="J13" i="1"/>
  <c r="J75" i="1"/>
  <c r="J38" i="1"/>
  <c r="J8" i="1"/>
  <c r="J74" i="1"/>
  <c r="J35" i="1"/>
  <c r="J7" i="1"/>
  <c r="J67" i="1"/>
  <c r="J42" i="1"/>
  <c r="J30" i="1"/>
  <c r="J64" i="1"/>
  <c r="J51" i="1"/>
  <c r="J39" i="1"/>
  <c r="J26" i="1"/>
  <c r="J11" i="1"/>
  <c r="J63" i="1"/>
  <c r="J50" i="1"/>
  <c r="J24" i="1"/>
  <c r="J62" i="1"/>
  <c r="J48" i="1"/>
  <c r="J23" i="1"/>
  <c r="J55" i="1"/>
  <c r="J14" i="1"/>
  <c r="J72" i="1"/>
  <c r="J59" i="1"/>
  <c r="J47" i="1"/>
  <c r="J34" i="1"/>
  <c r="J22" i="1"/>
  <c r="J5" i="1"/>
  <c r="J71" i="1"/>
  <c r="J58" i="1"/>
  <c r="J46" i="1"/>
  <c r="J32" i="1"/>
  <c r="J19" i="1"/>
  <c r="J4" i="1"/>
  <c r="G74" i="1"/>
  <c r="G60" i="1"/>
  <c r="G43" i="1"/>
  <c r="G29" i="1"/>
  <c r="G11" i="1"/>
  <c r="I9" i="1"/>
  <c r="I20" i="1"/>
  <c r="I28" i="1"/>
  <c r="I36" i="1"/>
  <c r="I44" i="1"/>
  <c r="I52" i="1"/>
  <c r="I60" i="1"/>
  <c r="I68" i="1"/>
  <c r="I2" i="1"/>
  <c r="I10" i="1"/>
  <c r="I21" i="1"/>
  <c r="I29" i="1"/>
  <c r="I37" i="1"/>
  <c r="I45" i="1"/>
  <c r="I53" i="1"/>
  <c r="I61" i="1"/>
  <c r="I69" i="1"/>
  <c r="I5" i="1"/>
  <c r="I14" i="1"/>
  <c r="I24" i="1"/>
  <c r="I32" i="1"/>
  <c r="I40" i="1"/>
  <c r="I48" i="1"/>
  <c r="I56" i="1"/>
  <c r="I64" i="1"/>
  <c r="I72" i="1"/>
  <c r="I15" i="1"/>
  <c r="I30" i="1"/>
  <c r="I42" i="1"/>
  <c r="I55" i="1"/>
  <c r="I67" i="1"/>
  <c r="I4" i="1"/>
  <c r="I19" i="1"/>
  <c r="I33" i="1"/>
  <c r="I46" i="1"/>
  <c r="I58" i="1"/>
  <c r="I71" i="1"/>
  <c r="I23" i="1"/>
  <c r="I49" i="1"/>
  <c r="I74" i="1"/>
  <c r="I25" i="1"/>
  <c r="I50" i="1"/>
  <c r="I75" i="1"/>
  <c r="I3" i="1"/>
  <c r="I31" i="1"/>
  <c r="I57" i="1"/>
  <c r="I6" i="1"/>
  <c r="I22" i="1"/>
  <c r="I34" i="1"/>
  <c r="I47" i="1"/>
  <c r="I59" i="1"/>
  <c r="I73" i="1"/>
  <c r="I7" i="1"/>
  <c r="I35" i="1"/>
  <c r="I62" i="1"/>
  <c r="I8" i="1"/>
  <c r="I38" i="1"/>
  <c r="I63" i="1"/>
  <c r="I16" i="1"/>
  <c r="I43" i="1"/>
  <c r="I70" i="1"/>
  <c r="I11" i="1"/>
  <c r="I26" i="1"/>
  <c r="I39" i="1"/>
  <c r="I51" i="1"/>
  <c r="I65" i="1"/>
  <c r="I13" i="1"/>
  <c r="I27" i="1"/>
  <c r="I41" i="1"/>
  <c r="I54" i="1"/>
  <c r="I66"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2" i="1"/>
  <c r="G48" i="1"/>
  <c r="G34" i="1"/>
  <c r="G20" i="1"/>
  <c r="G3" i="1"/>
  <c r="G73" i="1"/>
  <c r="G59" i="1"/>
  <c r="G45" i="1"/>
  <c r="G31" i="1"/>
  <c r="G15" i="1"/>
  <c r="G13" i="1"/>
  <c r="G69" i="1"/>
  <c r="G55" i="1"/>
  <c r="G41" i="1"/>
  <c r="G27" i="1"/>
  <c r="G10" i="1"/>
  <c r="B5" i="8"/>
  <c r="G53" i="1"/>
  <c r="G39" i="1"/>
  <c r="G25" i="1"/>
  <c r="G8" i="1"/>
  <c r="G67" i="1"/>
  <c r="G66" i="1"/>
  <c r="G52" i="1"/>
  <c r="G38" i="1"/>
  <c r="G24" i="1"/>
  <c r="G7" i="1"/>
  <c r="G65" i="1"/>
  <c r="G51" i="1"/>
  <c r="G37" i="1"/>
  <c r="G23" i="1"/>
  <c r="B8" i="8"/>
  <c r="B4" i="8"/>
  <c r="H4" i="8" s="1"/>
  <c r="B18" i="8"/>
  <c r="B17" i="8"/>
  <c r="K17" i="8" s="1"/>
  <c r="B10" i="8"/>
  <c r="E10" i="8" s="1"/>
  <c r="B16" i="8"/>
  <c r="B15" i="8"/>
  <c r="I15" i="8" s="1"/>
  <c r="H5" i="1"/>
  <c r="H14" i="1"/>
  <c r="H30" i="1"/>
  <c r="H44" i="1"/>
  <c r="H58" i="1"/>
  <c r="H72" i="1"/>
  <c r="H61" i="1"/>
  <c r="H50" i="1"/>
  <c r="H42" i="1"/>
  <c r="H71" i="1"/>
  <c r="H15" i="1"/>
  <c r="H31" i="1"/>
  <c r="H45" i="1"/>
  <c r="H59" i="1"/>
  <c r="H73" i="1"/>
  <c r="H47" i="1"/>
  <c r="H75" i="1"/>
  <c r="H36" i="1"/>
  <c r="H11" i="1"/>
  <c r="H29" i="1"/>
  <c r="H16" i="1"/>
  <c r="H32" i="1"/>
  <c r="H46" i="1"/>
  <c r="H60" i="1"/>
  <c r="H74" i="1"/>
  <c r="H33" i="1"/>
  <c r="H63" i="1"/>
  <c r="H64" i="1"/>
  <c r="H28" i="1"/>
  <c r="H19" i="1"/>
  <c r="H2" i="1"/>
  <c r="H20" i="1"/>
  <c r="H34" i="1"/>
  <c r="H48" i="1"/>
  <c r="H62" i="1"/>
  <c r="H21" i="1"/>
  <c r="H35" i="1"/>
  <c r="H49" i="1"/>
  <c r="H22" i="1"/>
  <c r="H70" i="1"/>
  <c r="H43" i="1"/>
  <c r="H3" i="1"/>
  <c r="H4" i="1"/>
  <c r="H6" i="1"/>
  <c r="H23" i="1"/>
  <c r="H37" i="1"/>
  <c r="H51" i="1"/>
  <c r="H65" i="1"/>
  <c r="H66" i="1"/>
  <c r="H10" i="1"/>
  <c r="H69" i="1"/>
  <c r="H7" i="1"/>
  <c r="H24" i="1"/>
  <c r="H38" i="1"/>
  <c r="H52" i="1"/>
  <c r="H55" i="1"/>
  <c r="H13" i="1"/>
  <c r="H8" i="1"/>
  <c r="H25" i="1"/>
  <c r="H39" i="1"/>
  <c r="H53" i="1"/>
  <c r="H67" i="1"/>
  <c r="H26" i="1"/>
  <c r="H68" i="1"/>
  <c r="H27" i="1"/>
  <c r="H56" i="1"/>
  <c r="H57" i="1"/>
  <c r="H9" i="1"/>
  <c r="H40" i="1"/>
  <c r="H54" i="1"/>
  <c r="H41" i="1"/>
  <c r="B14" i="8"/>
  <c r="B13" i="8"/>
  <c r="I13" i="8" s="1"/>
  <c r="B3" i="8"/>
  <c r="C3" i="8" s="1"/>
  <c r="H12" i="8"/>
  <c r="B22" i="8"/>
  <c r="B2" i="8"/>
  <c r="B19" i="8"/>
  <c r="K6" i="8"/>
  <c r="J6" i="8"/>
  <c r="E12" i="8"/>
  <c r="I12" i="8"/>
  <c r="J12" i="8"/>
  <c r="B11" i="8"/>
  <c r="C11" i="8" s="1"/>
  <c r="K12" i="8"/>
  <c r="L12" i="8"/>
  <c r="B9" i="8"/>
  <c r="C9" i="8" s="1"/>
  <c r="B21" i="8"/>
  <c r="C21" i="8" s="1"/>
  <c r="B7" i="8"/>
  <c r="C7" i="8" s="1"/>
  <c r="B20" i="8"/>
  <c r="C20" i="8" s="1"/>
  <c r="F12" i="8"/>
  <c r="AA49" i="1" l="1"/>
  <c r="AA12" i="1"/>
  <c r="AA18" i="1"/>
  <c r="AA17" i="1"/>
  <c r="AA68" i="1"/>
  <c r="AA47" i="1"/>
  <c r="AA13" i="1"/>
  <c r="AA60" i="1"/>
  <c r="AA67" i="1"/>
  <c r="AA65" i="1"/>
  <c r="K26" i="8"/>
  <c r="AA53" i="1"/>
  <c r="AA55" i="1"/>
  <c r="I24" i="8"/>
  <c r="H6" i="8"/>
  <c r="F6" i="8"/>
  <c r="AA56" i="1"/>
  <c r="F36" i="8"/>
  <c r="K27" i="8"/>
  <c r="AA19" i="1"/>
  <c r="AA72" i="1"/>
  <c r="J26" i="8"/>
  <c r="AA54" i="1"/>
  <c r="H36" i="8"/>
  <c r="AA59" i="1"/>
  <c r="AA38" i="1"/>
  <c r="I26" i="8"/>
  <c r="AA28" i="1"/>
  <c r="AA16" i="1"/>
  <c r="F28" i="8"/>
  <c r="E35" i="8"/>
  <c r="AA66" i="1"/>
  <c r="AA34" i="1"/>
  <c r="AA42" i="1"/>
  <c r="I10" i="8"/>
  <c r="G6" i="8"/>
  <c r="AA20" i="1"/>
  <c r="AA50" i="1"/>
  <c r="L6" i="8"/>
  <c r="AA41" i="1"/>
  <c r="AA2" i="1"/>
  <c r="I35" i="8"/>
  <c r="J28" i="8"/>
  <c r="G24" i="8"/>
  <c r="AA37" i="1"/>
  <c r="AA32" i="1"/>
  <c r="K33" i="8"/>
  <c r="E32" i="8"/>
  <c r="G33" i="8"/>
  <c r="AA9" i="1"/>
  <c r="AA39" i="1"/>
  <c r="AA44" i="1"/>
  <c r="I32" i="8"/>
  <c r="E33" i="8"/>
  <c r="H32" i="8"/>
  <c r="I6" i="8"/>
  <c r="AA7" i="1"/>
  <c r="AA31" i="1"/>
  <c r="E6" i="8"/>
  <c r="AA69" i="1"/>
  <c r="AA63" i="1"/>
  <c r="E30" i="8"/>
  <c r="J24" i="8"/>
  <c r="K32" i="8"/>
  <c r="I28" i="8"/>
  <c r="AA5" i="1"/>
  <c r="J25" i="8"/>
  <c r="AA74" i="1"/>
  <c r="AA70" i="1"/>
  <c r="F25" i="8"/>
  <c r="E29" i="8"/>
  <c r="K29" i="8"/>
  <c r="C29" i="8"/>
  <c r="G29" i="8"/>
  <c r="F29" i="8"/>
  <c r="E34" i="8"/>
  <c r="C34" i="8"/>
  <c r="K34" i="8"/>
  <c r="L23" i="8"/>
  <c r="K31" i="8"/>
  <c r="J29" i="8"/>
  <c r="I17" i="8"/>
  <c r="H17" i="8"/>
  <c r="AA26" i="1"/>
  <c r="AA52" i="1"/>
  <c r="AA51" i="1"/>
  <c r="AA22" i="1"/>
  <c r="AA46" i="1"/>
  <c r="AA73" i="1"/>
  <c r="AA61" i="1"/>
  <c r="G37" i="8"/>
  <c r="C37" i="8"/>
  <c r="C33" i="8"/>
  <c r="I33" i="8"/>
  <c r="F34" i="8"/>
  <c r="F27" i="8"/>
  <c r="L27" i="8"/>
  <c r="L33" i="8"/>
  <c r="G36" i="8"/>
  <c r="G31" i="8"/>
  <c r="I37" i="8"/>
  <c r="L31" i="8"/>
  <c r="L15" i="8"/>
  <c r="AA40" i="1"/>
  <c r="AA24" i="1"/>
  <c r="AA35" i="1"/>
  <c r="AA45" i="1"/>
  <c r="AA58" i="1"/>
  <c r="J31" i="8"/>
  <c r="H35" i="8"/>
  <c r="C35" i="8"/>
  <c r="J30" i="8"/>
  <c r="I30" i="8"/>
  <c r="C30" i="8"/>
  <c r="I29" i="8"/>
  <c r="H30" i="8"/>
  <c r="G30" i="8"/>
  <c r="I31" i="8"/>
  <c r="E23" i="8"/>
  <c r="G23" i="8"/>
  <c r="J23" i="8"/>
  <c r="I23" i="8"/>
  <c r="C23" i="8"/>
  <c r="H23" i="8"/>
  <c r="AA23" i="1"/>
  <c r="AA6" i="1"/>
  <c r="AA21" i="1"/>
  <c r="AA64" i="1"/>
  <c r="AA29" i="1"/>
  <c r="E26" i="8"/>
  <c r="C26" i="8"/>
  <c r="F26" i="8"/>
  <c r="F24" i="8"/>
  <c r="J27" i="8"/>
  <c r="H28" i="8"/>
  <c r="L25" i="8"/>
  <c r="K28" i="8"/>
  <c r="G28" i="8"/>
  <c r="H29" i="8"/>
  <c r="E28" i="8"/>
  <c r="C31" i="8"/>
  <c r="F31" i="8"/>
  <c r="AA57" i="1"/>
  <c r="AA25" i="1"/>
  <c r="AA4" i="1"/>
  <c r="AA62" i="1"/>
  <c r="AA11" i="1"/>
  <c r="AA15" i="1"/>
  <c r="AA30" i="1"/>
  <c r="L32" i="8"/>
  <c r="C32" i="8"/>
  <c r="H25" i="8"/>
  <c r="C25" i="8"/>
  <c r="L34" i="8"/>
  <c r="L29" i="8"/>
  <c r="E36" i="8"/>
  <c r="F23" i="8"/>
  <c r="L26" i="8"/>
  <c r="H37" i="8"/>
  <c r="G34" i="8"/>
  <c r="G25" i="8"/>
  <c r="G27" i="8"/>
  <c r="E37" i="8"/>
  <c r="F32" i="8"/>
  <c r="G10" i="8"/>
  <c r="J10" i="8"/>
  <c r="AA8" i="1"/>
  <c r="AA10" i="1"/>
  <c r="AA3" i="1"/>
  <c r="AA48" i="1"/>
  <c r="AA33" i="1"/>
  <c r="AA36" i="1"/>
  <c r="AA71" i="1"/>
  <c r="AA14" i="1"/>
  <c r="H24" i="8"/>
  <c r="K24" i="8"/>
  <c r="C24" i="8"/>
  <c r="J35" i="8"/>
  <c r="F37" i="8"/>
  <c r="F35" i="8"/>
  <c r="H31" i="8"/>
  <c r="L28" i="8"/>
  <c r="K35" i="8"/>
  <c r="G35" i="8"/>
  <c r="G26" i="8"/>
  <c r="I34" i="8"/>
  <c r="I27" i="8"/>
  <c r="E25" i="8"/>
  <c r="H34" i="8"/>
  <c r="K30" i="8"/>
  <c r="AA27" i="1"/>
  <c r="AA43" i="1"/>
  <c r="AA75" i="1"/>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<sst xmlns="http://schemas.openxmlformats.org/spreadsheetml/2006/main" count="790" uniqueCount="432">
  <si>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</si>
  <si>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</si>
  <si>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</si>
  <si>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</si>
  <si>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</si>
  <si>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</si>
  <si>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</si>
  <si>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</si>
  <si>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</si>
  <si>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</si>
  <si>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</si>
  <si>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</si>
  <si>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</si>
  <si>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</si>
  <si>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</si>
  <si>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</si>
  <si>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</si>
  <si>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</si>
  <si>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</si>
  <si>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</si>
  <si>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</si>
  <si>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</si>
  <si>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</si>
  <si>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</si>
  <si>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</si>
  <si>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</si>
  <si>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</si>
  <si>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</si>
  <si>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</si>
  <si>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</si>
  <si>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</si>
  <si>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</si>
  <si>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</si>
  <si>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</si>
  <si>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</si>
  <si>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</si>
  <si>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</si>
  <si>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</si>
  <si>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</si>
  <si>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</si>
  <si>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</si>
  <si>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</si>
  <si>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</si>
  <si>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</si>
  <si>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</si>
  <si>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</si>
  <si>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</si>
  <si>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</si>
  <si>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</si>
  <si>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</si>
  <si>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</si>
  <si>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</si>
  <si>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</si>
  <si>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</si>
  <si>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</si>
  <si>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</si>
  <si>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</si>
  <si>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</si>
  <si>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</si>
  <si>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</si>
  <si>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</si>
  <si>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</si>
  <si>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</si>
  <si>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</si>
  <si>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</si>
  <si>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</si>
  <si>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</si>
  <si>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</si>
  <si>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</si>
  <si>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</si>
  <si>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</si>
  <si>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</si>
  <si>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</si>
  <si>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</si>
  <si>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</si>
  <si>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</si>
  <si>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</si>
  <si>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</si>
  <si>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</si>
  <si>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</si>
  <si>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</si>
  <si>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</si>
  <si>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</si>
  <si>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</si>
  <si>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</si>
  <si>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</si>
  <si>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</si>
  <si>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</si>
  <si>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</si>
  <si>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</si>
  <si>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</si>
  <si>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</si>
  <si>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</si>
  <si>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</si>
  <si>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</si>
  <si>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</si>
  <si>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</si>
  <si>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</si>
  <si>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</si>
  <si>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</si>
  <si>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</si>
  <si>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</si>
  <si>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</si>
  <si>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</si>
  <si>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</si>
  <si>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</si>
  <si>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</si>
  <si>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</si>
  <si>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</si>
  <si>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</si>
  <si>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</si>
  <si>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</si>
  <si>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</si>
  <si>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</si>
  <si>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</si>
  <si>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</si>
  <si>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</si>
  <si>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</si>
  <si>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</si>
  <si>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</si>
  <si>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</si>
  <si>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</si>
  <si>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</si>
  <si>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</si>
  <si>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</si>
  <si>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</si>
  <si>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</si>
  <si>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</si>
  <si>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</si>
  <si>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</si>
  <si>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</si>
  <si>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</si>
  <si>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</si>
  <si>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</si>
  <si>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</si>
  <si>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</si>
  <si>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</si>
  <si>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</si>
  <si>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</si>
  <si>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</si>
  <si>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</si>
  <si>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</si>
  <si>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</si>
  <si>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</si>
  <si>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</si>
  <si>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</si>
  <si>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</si>
  <si>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</si>
  <si>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</si>
  <si>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</si>
  <si>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</si>
  <si>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</si>
  <si>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</si>
  <si>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</si>
  <si>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</si>
  <si>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</si>
  <si>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</si>
  <si>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</si>
  <si>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</si>
  <si>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</si>
  <si>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</si>
  <si>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</si>
  <si>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</si>
  <si>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</si>
  <si>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</si>
  <si>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</si>
  <si>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</si>
  <si>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</si>
  <si>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</si>
  <si>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</si>
  <si>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</si>
  <si>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</si>
  <si>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</si>
  <si>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</si>
  <si>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</si>
  <si>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</si>
  <si>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</si>
  <si>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</si>
  <si>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</si>
  <si>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</si>
  <si>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</si>
  <si>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</si>
  <si>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</si>
  <si>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</si>
  <si>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</si>
  <si>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</si>
  <si>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</si>
  <si>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</si>
  <si>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</si>
  <si>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</si>
  <si>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</si>
  <si>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</si>
  <si>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</si>
  <si>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</si>
  <si>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</si>
  <si>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</si>
  <si>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</si>
  <si>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</si>
  <si>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</si>
  <si>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</si>
  <si>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</si>
  <si>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</si>
  <si>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</si>
  <si>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</si>
  <si>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</si>
  <si>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</si>
  <si>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</si>
  <si>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</si>
  <si>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</si>
  <si>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</si>
  <si>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</si>
  <si>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</si>
  <si>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</si>
  <si>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</si>
  <si>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</si>
  <si>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</si>
  <si>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</si>
  <si>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</si>
  <si>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</si>
  <si>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</si>
  <si>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</si>
  <si>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</si>
  <si>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</si>
  <si>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</si>
  <si>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</si>
  <si>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</si>
  <si>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</si>
  <si>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</si>
  <si>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</si>
  <si>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</si>
  <si>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</si>
  <si>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</si>
  <si>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</si>
  <si>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</si>
  <si>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</si>
  <si>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</si>
  <si>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</si>
  <si>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</si>
  <si>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</si>
  <si>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</si>
  <si>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</si>
  <si>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</si>
  <si>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</si>
  <si>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</si>
  <si>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</si>
  <si>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</si>
  <si>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</si>
  <si>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</si>
  <si>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</si>
  <si>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</si>
  <si>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</si>
  <si>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</si>
  <si>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</si>
  <si>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</si>
  <si>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</si>
  <si>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</si>
  <si>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</si>
  <si>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</si>
  <si>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</si>
  <si>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</si>
  <si>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</si>
  <si>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</si>
  <si>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</si>
  <si>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</si>
  <si>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</si>
  <si>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</si>
  <si>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</si>
  <si>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</si>
  <si>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</si>
  <si>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</si>
  <si>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</si>
  <si>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</si>
  <si>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</si>
  <si>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</si>
  <si>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</si>
  <si>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</si>
  <si>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</si>
  <si>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</si>
  <si>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</si>
  <si>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</si>
  <si>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</si>
  <si>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</si>
  <si>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</si>
  <si>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</si>
  <si>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</si>
  <si>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</si>
  <si>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</si>
  <si>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</si>
  <si>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</si>
  <si>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</si>
  <si>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</si>
  <si>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</si>
  <si>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</si>
  <si>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</si>
  <si>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</si>
  <si>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</si>
  <si>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</si>
  <si>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</si>
  <si>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</si>
  <si>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</si>
  <si>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</si>
  <si>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</si>
  <si>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</si>
  <si>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</si>
  <si>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</si>
  <si>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</si>
  <si>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</si>
  <si>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</si>
  <si>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</si>
  <si>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</si>
  <si>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</si>
  <si>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</si>
  <si>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</si>
  <si>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</si>
  <si>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</si>
  <si>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</si>
  <si>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</si>
  <si>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</si>
  <si>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</si>
  <si>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</si>
  <si>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</si>
  <si>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</si>
  <si>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</si>
  <si>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</si>
  <si>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</si>
  <si>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</si>
  <si>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</si>
  <si>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</si>
  <si>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</si>
  <si>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</si>
  <si>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</si>
  <si>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</si>
  <si>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</si>
  <si>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</si>
  <si>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</si>
  <si>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</si>
  <si>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</si>
  <si>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</si>
  <si>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</si>
  <si>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</si>
  <si>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</si>
  <si>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</si>
  <si>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</si>
  <si>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</si>
  <si>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</si>
  <si>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</si>
  <si>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</si>
  <si>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</si>
  <si>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</si>
  <si>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</si>
  <si>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</si>
  <si>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</si>
  <si>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</si>
  <si>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</si>
  <si>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</si>
  <si>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</si>
  <si>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</si>
  <si>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</si>
  <si>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</si>
  <si>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</si>
  <si>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</si>
  <si>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</si>
  <si>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</si>
  <si>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"Effizienteste Haushaltsgeräte können den dStromverbrauch deutlich reduzieren"</t>
  </si>
  <si>
    <t>"Wenn die Nutzer mitspielen, können Verbraucher wie Waschmaschinen oder Geschirrspüler dann einschalten, wenn Erneuerbare zur Verfügung stehen."</t>
  </si>
  <si>
    <t>"Batteriespeicher werden immer günstiger. Sie können den eigenen PV-Strom in  den Abend retten und vermeiden so dreckigeren Netzbezug."</t>
  </si>
  <si>
    <t>"Ermöglicht es, die Batterie auch mit Netzstrom zu beladen, wenn er gerade günstig und CO2-frei ist."</t>
  </si>
  <si>
    <t>"Wenn die Nutzer es zulassen, können Wärmepumpen zusätzlichen Strom im Gebäude als Wärme (oder im Sommer durch zusätzliche Kühlung)  speichern. So lassen sich noch mehr Erneuerbare einsetzen."</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</si>
  <si>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</si>
  <si>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</si>
  <si>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</si>
  <si>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</si>
  <si>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</si>
  <si>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</si>
  <si>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</si>
  <si>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"Reduziert die Sonneneinstrahlung und damit die nötige Kühlenergie im Sommer."</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</si>
  <si>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</si>
  <si>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</si>
  <si>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</si>
  <si>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</si>
  <si>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Beschreibung hier einfügen, kurz halten oder sie wird abgeschnitten"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</si>
  <si>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</si>
  <si>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</si>
  <si>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</si>
  <si>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</si>
  <si>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</si>
  <si>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</si>
  <si>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</si>
  <si>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</si>
  <si>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</si>
  <si>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</si>
  <si>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</si>
  <si>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</si>
  <si>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</si>
  <si>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</si>
  <si>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</si>
  <si>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</si>
  <si>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</si>
  <si>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</si>
  <si>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</si>
  <si>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</si>
  <si>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</si>
  <si>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</si>
  <si>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</si>
  <si>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</si>
  <si>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</si>
  <si>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</si>
  <si>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</si>
  <si>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</si>
  <si>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</si>
  <si>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</si>
  <si>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Abwasser-Wärmepumpe nutzt Wärme aus dem Abwasser, die sonst ungenutzt verloren gehen würde. Sie kann sehr effizient sein und viele Emissionen sparen, ist aber eine technisch anspruchsvolle und meist teurere Lösung."</t>
  </si>
  <si>
    <t>"Biomasse kann günstig erneuerbare Wärme bereitstellen und bestehende Heizsysteme teilweise gut ersetzen. In der Stadt ist sie aber wegen Lagerung, Anlieferung, Feinstaub und anderen Immissionen oft schwer umsetzbar."</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</si>
  <si>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</si>
  <si>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Erdwärmepumpe nutzt Wärme aus dem Erdreich und arbeitet dadurch meist sehr effizient und stabil. Sie spart viele Emissionen, ist aber wegen Bohrungen oder Erdarbeiten teuer und aufwendig umzusetzen."</t>
  </si>
  <si>
    <t>"Fernwärme ist einfach und im Allgemeinen umweltverträglich, kann aber teurer sein als andere Lösungen."</t>
  </si>
  <si>
    <t>"Eine Grundwasser-Wärmepumpe nutzt die relativ konstante Temperatur des Grundwassers und kann sehr effizient heizen und kühlen. Sie spart viele Emissionen, ist aber teuer, genehmigungspflichtig und nur bei geeigneten Standortbedingungen möglich."</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</si>
  <si>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</si>
  <si>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</si>
  <si>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</si>
  <si>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</si>
  <si>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Bedingung: Keine Fassadenbegrünung installiert</t>
  </si>
  <si>
    <t>Bedingung: Wärmepumpe installiert</t>
  </si>
  <si>
    <t>Bedingung: E-Car Lade-Infrastruktur installiert</t>
  </si>
  <si>
    <t>Bedingung: Kein Kleiner Heimspeicher installiert</t>
  </si>
  <si>
    <t>Bedingung: Kein Großer Batteriespeicher installiert</t>
  </si>
  <si>
    <t>Bedingung: Keine E-Car Wallboxen installiert</t>
  </si>
  <si>
    <t>Bedingung: Keine E-Car Lade-Infrastruktur installiert</t>
  </si>
  <si>
    <t>Bedingung: Keine Fassadenintegrierte PV installiert</t>
  </si>
  <si>
    <t>Bedingung: Wärmeschutz mind. 3</t>
  </si>
  <si>
    <t>Bedingung: Wärmeschutz mind. 5</t>
  </si>
  <si>
    <t>Effekt: Speicher kann jetzt vom Netz beladen werden. Bei der Wertung des Speichers wird die Stromproduktionsbedingung ignoriert.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</si>
</sst>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44">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7" borderId="30" xfId="0" applyFont="1" applyFill="1" applyBorder="1" applyAlignment="1">
      <alignment vertical="center"/>
    </xf>
    <xf numFmtId="0" fontId="3" fillId="11" borderId="31" xfId="0" applyFont="1" applyFill="1" applyBorder="1" applyAlignment="1">
      <alignment vertical="center"/>
    </xf>
    <xf numFmtId="0" fontId="2" fillId="11" borderId="30" xfId="0" applyFont="1" applyFill="1" applyBorder="1" applyAlignment="1">
      <alignment vertical="center"/>
    </xf>
    <xf numFmtId="49" fontId="2" fillId="10" borderId="32" xfId="0" applyNumberFormat="1" applyFont="1" applyFill="1" applyBorder="1" applyAlignment="1">
      <alignment vertical="center"/>
    </xf>
    <xf numFmtId="0" fontId="2" fillId="10" borderId="32" xfId="0" applyFont="1" applyFill="1" applyBorder="1" applyAlignment="1">
      <alignment vertical="center"/>
    </xf>
    <xf numFmtId="0" fontId="3" fillId="8" borderId="0" xfId="0" applyFont="1" applyFill="1" applyBorder="1" applyAlignment="1">
      <alignment vertical="center"/>
    </xf>
    <xf numFmtId="0" fontId="4" fillId="8" borderId="0" xfId="0" applyFont="1" applyFill="1" applyBorder="1" applyAlignment="1">
      <alignment horizontal="right" vertical="center"/>
    </xf>
  </cellXfs>
  <cellStyles count="1">
    <cellStyle name="Normal" xfId="0" builtinId="0"/>
  </cellStyles>
  <dxfs count="81">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ill>
        <patternFill patternType="solid">
          <fgColor rgb="FFB7E1CD"/>
          <bgColor rgb="FFB7E1CD"/>
        </patternFill>
      </fill>
    </dxf>
    <dxf>
      <numFmt numFmtId="0" formatCode="Genera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0" formatCode="General"/>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0"/>
      <tableStyleElement type="headerRow" dxfId="79"/>
      <tableStyleElement type="firstRowStripe" dxfId="78"/>
      <tableStyleElement type="secondRowStripe" dxfId="77"/>
    </tableStyle>
    <tableStyle name="Massnahmenkarten Texte-style" pivot="0" count="4" xr9:uid="{00000000-0011-0000-FFFF-FFFF01000000}">
      <tableStyleElement type="wholeTable" size="0" dxfId="76"/>
      <tableStyleElement type="headerRow" dxfId="75"/>
      <tableStyleElement type="firstRowStripe" dxfId="74"/>
      <tableStyleElement type="secondRowStripe" dxfId="73"/>
    </tableStyle>
    <tableStyle name="Mapping RealwerteSpielwerte-style" pivot="0" count="4" xr9:uid="{00000000-0011-0000-FFFF-FFFF02000000}">
      <tableStyleElement type="wholeTable" size="0" dxfId="72"/>
      <tableStyleElement type="headerRow" dxfId="71"/>
      <tableStyleElement type="firstRowStripe" dxfId="70"/>
      <tableStyleElement type="secondRowStripe" dxfId="69"/>
    </tableStyle>
    <tableStyle name="Board BaseValues-style" pivot="0" count="4" xr9:uid="{00000000-0011-0000-FFFF-FFFF03000000}">
      <tableStyleElement type="wholeTable" size="0" dxfId="68"/>
      <tableStyleElement type="headerRow" dxfId="67"/>
      <tableStyleElement type="firstRowStripe" dxfId="66"/>
      <tableStyleElement type="secondRowStripe" dxfId="65"/>
    </tableStyle>
    <tableStyle name="Board Heiztabelle SP-style" pivot="0" count="4" xr9:uid="{00000000-0011-0000-FFFF-FFFF04000000}">
      <tableStyleElement type="wholeTable" size="0" dxfId="64"/>
      <tableStyleElement type="headerRow" dxfId="63"/>
      <tableStyleElement type="firstRowStripe" dxfId="62"/>
      <tableStyleElement type="secondRowStripe" dxfId="61"/>
    </tableStyle>
    <tableStyle name="Board Heiztabelle Budget-style" pivot="0" count="4" xr9:uid="{00000000-0011-0000-FFFF-FFFF05000000}">
      <tableStyleElement type="wholeTable" size="0" dxfId="60"/>
      <tableStyleElement type="headerRow" dxfId="59"/>
      <tableStyleElement type="firstRowStripe" dxfId="58"/>
      <tableStyleElement type="secondRowStripe" dxfId="57"/>
    </tableStyle>
    <tableStyle name="Board WP Netzbezug-style" pivot="0" count="4" xr9:uid="{00000000-0011-0000-FFFF-FFFF06000000}">
      <tableStyleElement type="wholeTable" size="0" dxfId="56"/>
      <tableStyleElement type="headerRow" dxfId="55"/>
      <tableStyleElement type="firstRowStripe" dxfId="54"/>
      <tableStyleElement type="secondRowStripe" dxfId="53"/>
    </tableStyle>
    <tableStyle name="Netzbezug Impact-style" pivot="0" count="4" xr9:uid="{00000000-0011-0000-FFFF-FFFF07000000}">
      <tableStyleElement type="wholeTable" size="0" dxfId="52"/>
      <tableStyleElement type="headerRow" dxfId="51"/>
      <tableStyleElement type="firstRowStripe" dxfId="50"/>
      <tableStyleElement type="secondRowStripe" dxfId="4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103">
  <sortState xmlns:xlrd2="http://schemas.microsoft.com/office/spreadsheetml/2017/richdata2" ref="A2:Z103">
    <sortCondition ref="B1:B103"/>
  </sortState>
  <tableColumns count="28">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8">
      <calculatedColumnFormula>Table1[[#This Row],[REAL Sofort CO2]]/kgemission_per_sp</calculatedColumnFormula>
    </tableColumn>
    <tableColumn id="8" xr3:uid="{00000000-0010-0000-0000-000008000000}" name="Strombedarf" dataDxfId="47">
      <calculatedColumnFormula>Table1[[#This Row],[REAL Strombedarf]]/real_zu_spiel_strombedarf</calculatedColumnFormula>
    </tableColumn>
    <tableColumn id="9" xr3:uid="{00000000-0010-0000-0000-000009000000}" name="Stromproduktion" dataDxfId="46">
      <calculatedColumnFormula>Table1[[#This Row],[REAL Stromproduktion]]/real_zu_spiel_stromproduktion</calculatedColumnFormula>
    </tableColumn>
    <tableColumn id="10" xr3:uid="{00000000-0010-0000-0000-00000A000000}" name="Stromspeicher" dataDxfId="45">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44"/>
    <tableColumn id="25" xr3:uid="{8B6CFA43-B9CB-4808-B66A-C728842AC947}" name="REAL Sofort CO2" dataDxfId="43"/>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0"/>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2">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2">
      <calculatedColumnFormula>CHAR(34)&amp;VLOOKUP(Table1[[#This Row],[Name]],'Massnahmenkarten Texte'!A:C,3,FALSE)&amp;CHAR(34)</calculatedColumnFormula>
    </tableColumn>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41"/>
    <tableColumn id="2" xr3:uid="{00000000-0010-0000-0200-000002000000}" name="Spiel" dataDxfId="40"/>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9"/>
    <tableColumn id="7" xr3:uid="{382715DF-E649-4C68-8229-17F79CFD05E9}" name="Gas Real" dataDxfId="38"/>
    <tableColumn id="8" xr3:uid="{9D3BFB1F-D194-4CFF-801A-646B03B69223}" name="Biomasse Real" dataDxfId="37"/>
    <tableColumn id="9" xr3:uid="{92D64809-6003-4492-A647-B5959B9DDB64}" name="Fernwärme Real" dataDxfId="36"/>
    <tableColumn id="10" xr3:uid="{08723E33-0A65-4BFC-9E7A-BA30B56D6C93}" name="Grünes Gas Real" dataDxfId="35"/>
    <tableColumn id="11" xr3:uid="{308CC45B-DB70-43B9-B4BC-DFAA9033E01B}" name="Wärmepumpe Real" dataDxfId="34"/>
    <tableColumn id="2" xr3:uid="{00000000-0010-0000-0400-000002000000}" name="Gas" dataDxfId="33">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2">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31"/>
    <tableColumn id="7" xr3:uid="{7EE7A865-A9C3-4293-93B4-6A7F6B0D0739}" name="Gas Real" dataDxfId="30">
      <calculatedColumnFormula>Table6_2[[#This Row],[HWB]]*'Mapping RealwerteSpielwerte'!$B$23</calculatedColumnFormula>
    </tableColumn>
    <tableColumn id="8" xr3:uid="{B9056603-4120-4751-8FD5-39C0A331CEB9}" name="Biomasse Real" dataDxfId="29">
      <calculatedColumnFormula>Table6_2[[#This Row],[HWB]]*'Mapping RealwerteSpielwerte'!$B$24</calculatedColumnFormula>
    </tableColumn>
    <tableColumn id="9" xr3:uid="{775B0FD7-CE79-4EF3-8952-C905936C6A82}" name="Fernwärme Real" dataDxfId="28">
      <calculatedColumnFormula>Table6_2[[#This Row],[HWB]]*'Mapping RealwerteSpielwerte'!$B$25</calculatedColumnFormula>
    </tableColumn>
    <tableColumn id="10" xr3:uid="{600AB853-60A0-47F9-B6B9-14F74CC0E0AE}" name="Grünes Gas Real" dataDxfId="27">
      <calculatedColumnFormula>Table6_2[[#This Row],[HWB]]*'Mapping RealwerteSpielwerte'!$B$26</calculatedColumnFormula>
    </tableColumn>
    <tableColumn id="11" xr3:uid="{1611B9F2-405C-4348-B6D7-02BE82C080AD}" name="Wärmepumpe Real" dataDxfId="26">
      <calculatedColumnFormula>0</calculatedColumnFormula>
    </tableColumn>
    <tableColumn id="2" xr3:uid="{00000000-0010-0000-0500-000002000000}" name="Gas" dataDxfId="25">
      <calculatedColumnFormula>-Table6_2[[#This Row],[Gas Real]]*'Mapping RealwerteSpielwerte'!$C$23+heizkosten_baseline</calculatedColumnFormula>
    </tableColumn>
    <tableColumn id="3" xr3:uid="{00000000-0010-0000-0500-000003000000}" name="Biomasse" dataDxfId="24">
      <calculatedColumnFormula>-Table6_2[[#This Row],[Biomasse Real]]*'Mapping RealwerteSpielwerte'!$C$24+heizkosten_baseline</calculatedColumnFormula>
    </tableColumn>
    <tableColumn id="4" xr3:uid="{00000000-0010-0000-0500-000004000000}" name="Fernwärme" dataDxfId="23">
      <calculatedColumnFormula>-Table6_2[[#This Row],[Fernwärme Real]]*'Mapping RealwerteSpielwerte'!$C$25+heizkosten_baseline</calculatedColumnFormula>
    </tableColumn>
    <tableColumn id="5" xr3:uid="{00000000-0010-0000-0500-000005000000}" name="Grünes Gas" dataDxfId="22">
      <calculatedColumnFormula>-Table6_2[[#This Row],[Grünes Gas Real]]*'Mapping RealwerteSpielwerte'!$C$26+heizkosten_baseline</calculatedColumnFormula>
    </tableColumn>
    <tableColumn id="6" xr3:uid="{00000000-0010-0000-0500-000006000000}" name="Wärmepumpe" dataDxfId="21">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20"/>
    <tableColumn id="7" xr3:uid="{DB8D5F2F-7A4D-4517-BD90-EB468A9472F9}" name="Effizienz 0" dataDxfId="19">
      <calculatedColumnFormula>Table7[[#This Row],[HWB]]/real_zu_spiel_strombedarf/COP_0</calculatedColumnFormula>
    </tableColumn>
    <tableColumn id="2" xr3:uid="{00000000-0010-0000-0600-000002000000}" name="Effizienz 1" dataDxfId="18">
      <calculatedColumnFormula>Table7[[#This Row],[HWB]]/real_zu_spiel_strombedarf/COP_1</calculatedColumnFormula>
    </tableColumn>
    <tableColumn id="3" xr3:uid="{00000000-0010-0000-0600-000003000000}" name="Effizienz 2" dataDxfId="17">
      <calculatedColumnFormula>Table7[[#This Row],[HWB]]/real_zu_spiel_strombedarf/COP_2</calculatedColumnFormula>
    </tableColumn>
    <tableColumn id="4" xr3:uid="{00000000-0010-0000-0600-000004000000}" name="Effizienz 3" dataDxfId="16">
      <calculatedColumnFormula>Table7[[#This Row],[HWB]]/real_zu_spiel_strombedarf/COP_3</calculatedColumnFormula>
    </tableColumn>
    <tableColumn id="5" xr3:uid="{00000000-0010-0000-0600-000005000000}" name="Effizienz 4" dataDxfId="15">
      <calculatedColumnFormula>Table7[[#This Row],[HWB]]/real_zu_spiel_strombedarf/COP_4</calculatedColumnFormula>
    </tableColumn>
    <tableColumn id="6" xr3:uid="{00000000-0010-0000-0600-000006000000}" name="Effizienz 5" dataDxfId="14">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3">
      <calculatedColumnFormula>Table8[[#This Row],[Netzbezug]]*real_zu_spiel_netzbezug</calculatedColumnFormula>
    </tableColumn>
    <tableColumn id="12" xr3:uid="{7CF654A3-746E-45BB-8FE8-D85A1A2F26B3}" name="Kosten Real" dataDxfId="12">
      <calculatedColumnFormula>Table8[[#This Row],[Netzbezug Real]]*'Mapping RealwerteSpielwerte'!$B$27</calculatedColumnFormula>
    </tableColumn>
    <tableColumn id="2" xr3:uid="{00000000-0010-0000-0700-000002000000}" name="Budget" dataDxfId="11">
      <calculatedColumnFormula>-Table8[[#This Row],[Kosten Real]]*'Mapping RealwerteSpielwerte'!$C$27</calculatedColumnFormula>
    </tableColumn>
    <tableColumn id="8" xr3:uid="{CF2B80D5-564A-4F28-96D5-E05D40FB1362}" name="Emissionen Runde 1 Real" dataDxfId="10">
      <calculatedColumnFormula>Table8[[#This Row],[Netzbezug Real]]*real_zu_spiel_emissionsintensität_1*years_per_round</calculatedColumnFormula>
    </tableColumn>
    <tableColumn id="9" xr3:uid="{DDA1FEAD-C691-4D07-9868-BA59E3083198}" name="Emissionen Runde 2 Real" dataDxfId="9">
      <calculatedColumnFormula>Table8[[#This Row],[Netzbezug Real]]*real_zu_spiel_emissionsintensität_2*years_per_round</calculatedColumnFormula>
    </tableColumn>
    <tableColumn id="10" xr3:uid="{FA64A352-3640-4484-B5E7-A06D893CF066}" name="Emissionen Runde 3 Real" dataDxfId="8">
      <calculatedColumnFormula>Table8[[#This Row],[Netzbezug Real]]*real_zu_spiel_emissionsintensität_3*years_per_round</calculatedColumnFormula>
    </tableColumn>
    <tableColumn id="11" xr3:uid="{D2D0C651-2DB4-4AE8-8AC2-5459168B14AC}" name="Emissionen Runde 4 Real" dataDxfId="7">
      <calculatedColumnFormula>Table8[[#This Row],[Netzbezug Real]]*real_zu_spiel_emissionsintensität_4*years_per_round</calculatedColumnFormula>
    </tableColumn>
    <tableColumn id="3" xr3:uid="{00000000-0010-0000-0700-000003000000}" name="SP Runde 1" dataDxfId="6">
      <calculatedColumnFormula>Table8[[#This Row],[Netzbezug Real]]*real_zu_spiel_emissionsintensität_1*years_per_round</calculatedColumnFormula>
    </tableColumn>
    <tableColumn id="4" xr3:uid="{00000000-0010-0000-0700-000004000000}" name="SP Runde 2" dataDxfId="5">
      <calculatedColumnFormula>Table8[[#This Row],[Netzbezug Real]]*real_zu_spiel_emissionsintensität_2*years_per_round</calculatedColumnFormula>
    </tableColumn>
    <tableColumn id="5" xr3:uid="{00000000-0010-0000-0700-000005000000}" name="SP Runde 3" dataDxfId="4">
      <calculatedColumnFormula>Table8[[#This Row],[Netzbezug Real]]*real_zu_spiel_emissionsintensität_3*years_per_round</calculatedColumnFormula>
    </tableColumn>
    <tableColumn id="6" xr3:uid="{00000000-0010-0000-0700-000006000000}" name="SP Runde 4" dataDxfId="3">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3"/>
  <sheetViews>
    <sheetView tabSelected="1" zoomScale="90" zoomScaleNormal="90" workbookViewId="0">
      <pane ySplit="1" topLeftCell="A4" activePane="bottomLeft" state="frozen"/>
      <selection pane="bottomLeft" activeCell="W12" sqref="W12"/>
    </sheetView>
  </sheetViews>
  <sheetFormatPr defaultColWidth="12.54296875" defaultRowHeight="15.75" customHeight="1" x14ac:dyDescent="0.25"/>
  <cols>
    <col min="1" max="1" width="33.453125" customWidth="1"/>
    <col min="2" max="2" width="16" customWidth="1"/>
    <col min="3" max="7" width="6.81640625" customWidth="1"/>
    <col min="8" max="8" width="11.1796875" style="133" customWidth="1"/>
    <col min="9" max="14" width="6.81640625" customWidth="1"/>
    <col min="15" max="22" width="9.453125" customWidth="1"/>
    <col min="23" max="23" width="23.7265625" customWidth="1"/>
    <col min="24" max="24" width="19.81640625" customWidth="1"/>
    <col min="25" max="25" width="19.453125" customWidth="1"/>
    <col min="26" max="26" width="17.90625" customWidth="1"/>
  </cols>
  <sheetData>
    <row r="1" spans="1:28" ht="149.25" customHeight="1" x14ac:dyDescent="0.25">
      <c r="A1" s="1" t="s">
        <v>0</v>
      </c>
      <c r="B1" s="2" t="s">
        <v>1</v>
      </c>
      <c r="C1" s="3" t="s">
        <v>2</v>
      </c>
      <c r="D1" s="3" t="s">
        <v>3</v>
      </c>
      <c r="E1" s="4" t="s">
        <v>4</v>
      </c>
      <c r="F1" s="5" t="s">
        <v>5</v>
      </c>
      <c r="G1" s="5" t="s">
        <v>6</v>
      </c>
      <c r="H1" s="128"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420</v>
      </c>
      <c r="X1" s="3" t="s">
        <v>21</v>
      </c>
      <c r="Y1" s="3" t="s">
        <v>22</v>
      </c>
      <c r="Z1" s="3" t="s">
        <v>23</v>
      </c>
      <c r="AA1" t="s">
        <v>345</v>
      </c>
      <c r="AB1" t="s">
        <v>104</v>
      </c>
    </row>
    <row r="2" spans="1:28" ht="22.5" customHeight="1" x14ac:dyDescent="0.25">
      <c r="A2" s="12" t="s">
        <v>32</v>
      </c>
      <c r="B2" s="34" t="s">
        <v>33</v>
      </c>
      <c r="C2" s="14">
        <v>1</v>
      </c>
      <c r="D2" s="49"/>
      <c r="E2" s="15">
        <v>0</v>
      </c>
      <c r="F2" s="16"/>
      <c r="G2" s="17">
        <f>Table1[[#This Row],[REAL Sofort CO2]]/kgemission_per_sp</f>
        <v>0</v>
      </c>
      <c r="H2" s="129">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42"/>
      <c r="X2" s="40"/>
      <c r="Y2" s="40"/>
      <c r="Z2" s="40"/>
      <c r="AA2" t="str">
        <f t="shared" ref="AA2:AA36" si="0">_xlfn.TEXTJOIN(
"XX",
TRUE,
IF(OR(F2="",F2=0),"",REPT(IF(F2&gt;0,"EN","EM"),ABS(F2))),
IF(OR(H2="",H2=0),"",REPT(IF(H2&gt;0,"BM","BP"),ABS(H2))),
REPT("SP",I2),
REPT("FL",J2),
REPT("WS",K2),
REPT("EF",L2),
IF(OR(M2="",M2=0),"",REPT(IF(M2&gt;0,"ZU","ZM"),ABS(M2))),
IF(D2="FW","XXFW",IF(D2="BIO","XXBI",IF(D2="ABWWP","XXWP",IF(D2="WP","XXWP",IF(D2="GG","XXGG","")))))
)</f>
        <v>SP</v>
      </c>
      <c r="AB2" t="s">
        <v>357</v>
      </c>
    </row>
    <row r="3" spans="1:28" ht="22.5" customHeight="1" x14ac:dyDescent="0.25">
      <c r="A3" s="55" t="s">
        <v>48</v>
      </c>
      <c r="B3" s="34" t="s">
        <v>33</v>
      </c>
      <c r="C3" s="14">
        <v>1</v>
      </c>
      <c r="D3" s="45"/>
      <c r="E3" s="15">
        <v>1</v>
      </c>
      <c r="F3" s="36">
        <v>-1</v>
      </c>
      <c r="G3" s="37">
        <f>Table1[[#This Row],[REAL Sofort CO2]]/kgemission_per_sp</f>
        <v>0</v>
      </c>
      <c r="H3" s="130">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142"/>
      <c r="X3" s="43"/>
      <c r="Y3" s="43"/>
      <c r="Z3" s="43"/>
      <c r="AA3" t="str">
        <f t="shared" si="0"/>
        <v>EMXXBM</v>
      </c>
      <c r="AB3" t="s">
        <v>358</v>
      </c>
    </row>
    <row r="4" spans="1:28" ht="22.5" customHeight="1" x14ac:dyDescent="0.25">
      <c r="A4" s="58" t="s">
        <v>52</v>
      </c>
      <c r="B4" s="34" t="s">
        <v>33</v>
      </c>
      <c r="C4" s="14">
        <v>1</v>
      </c>
      <c r="D4" s="42"/>
      <c r="E4" s="15">
        <v>3</v>
      </c>
      <c r="F4" s="16"/>
      <c r="G4" s="17">
        <f>Table1[[#This Row],[REAL Sofort CO2]]/kgemission_per_sp</f>
        <v>0</v>
      </c>
      <c r="H4" s="129">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142" t="s">
        <v>421</v>
      </c>
      <c r="X4" s="54" t="s">
        <v>0</v>
      </c>
      <c r="Y4" s="54"/>
      <c r="Z4" s="114" t="s">
        <v>51</v>
      </c>
      <c r="AA4" t="str">
        <f t="shared" si="0"/>
        <v>SPSPSPSP</v>
      </c>
      <c r="AB4" t="s">
        <v>359</v>
      </c>
    </row>
    <row r="5" spans="1:28" ht="22.5" customHeight="1" x14ac:dyDescent="0.25">
      <c r="A5" s="33" t="s">
        <v>74</v>
      </c>
      <c r="B5" s="34" t="s">
        <v>33</v>
      </c>
      <c r="C5" s="14">
        <v>1</v>
      </c>
      <c r="D5" s="35"/>
      <c r="E5" s="15">
        <v>1</v>
      </c>
      <c r="F5" s="16"/>
      <c r="G5" s="17">
        <f>Table1[[#This Row],[REAL Sofort CO2]]/kgemission_per_sp</f>
        <v>0</v>
      </c>
      <c r="H5" s="130">
        <f>Table1[[#This Row],[REAL Strombedarf]]/real_zu_spiel_strombedarf</f>
        <v>-1</v>
      </c>
      <c r="I5" s="19">
        <f>Table1[[#This Row],[REAL Stromproduktion]]/real_zu_spiel_stromproduktion</f>
        <v>0</v>
      </c>
      <c r="J5" s="20">
        <f>Table1[[#This Row],[REAL Stromspeicher]]/real_zu_spiel_stromspeicher</f>
        <v>0</v>
      </c>
      <c r="K5" s="21"/>
      <c r="L5" s="39"/>
      <c r="M5" s="23"/>
      <c r="N5" s="24"/>
      <c r="O5" s="25"/>
      <c r="P5" s="16"/>
      <c r="Q5" s="17"/>
      <c r="R5" s="18">
        <v>-5</v>
      </c>
      <c r="S5" s="19"/>
      <c r="T5" s="20"/>
      <c r="U5" s="21"/>
      <c r="V5" s="39"/>
      <c r="W5" s="142"/>
      <c r="X5" s="40"/>
      <c r="Y5" s="40"/>
      <c r="Z5" s="40"/>
      <c r="AA5" t="str">
        <f t="shared" si="0"/>
        <v>BP</v>
      </c>
      <c r="AB5" t="s">
        <v>360</v>
      </c>
    </row>
    <row r="6" spans="1:28" ht="22.5" customHeight="1" x14ac:dyDescent="0.25">
      <c r="A6" s="12" t="s">
        <v>99</v>
      </c>
      <c r="B6" s="34" t="s">
        <v>33</v>
      </c>
      <c r="C6" s="14">
        <v>1</v>
      </c>
      <c r="D6" s="49"/>
      <c r="E6" s="15">
        <v>1</v>
      </c>
      <c r="F6" s="16"/>
      <c r="G6" s="17">
        <f>Table1[[#This Row],[REAL Sofort CO2]]/kgemission_per_sp</f>
        <v>0</v>
      </c>
      <c r="H6" s="130">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143" t="s">
        <v>422</v>
      </c>
      <c r="X6" s="54" t="s">
        <v>3</v>
      </c>
      <c r="Y6" s="54" t="s">
        <v>26</v>
      </c>
      <c r="Z6" s="32"/>
      <c r="AA6" t="str">
        <f t="shared" si="0"/>
        <v>EF</v>
      </c>
      <c r="AB6" t="s">
        <v>361</v>
      </c>
    </row>
    <row r="7" spans="1:28" ht="22.5" customHeight="1" x14ac:dyDescent="0.25">
      <c r="A7" s="33" t="s">
        <v>35</v>
      </c>
      <c r="B7" s="34" t="s">
        <v>36</v>
      </c>
      <c r="C7" s="14">
        <v>1</v>
      </c>
      <c r="D7" s="35"/>
      <c r="E7" s="15">
        <v>0</v>
      </c>
      <c r="F7" s="16"/>
      <c r="G7" s="17">
        <f>Table1[[#This Row],[REAL Sofort CO2]]/kgemission_per_sp</f>
        <v>0</v>
      </c>
      <c r="H7" s="130">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143" t="s">
        <v>423</v>
      </c>
      <c r="X7" s="32" t="s">
        <v>0</v>
      </c>
      <c r="Y7" s="54" t="s">
        <v>37</v>
      </c>
      <c r="Z7" s="32"/>
      <c r="AA7" t="str">
        <f t="shared" si="0"/>
        <v>BPBPXXFLFLFLFLXXZM</v>
      </c>
      <c r="AB7" t="s">
        <v>362</v>
      </c>
    </row>
    <row r="8" spans="1:28" ht="22.5" customHeight="1" x14ac:dyDescent="0.25">
      <c r="A8" s="12" t="s">
        <v>49</v>
      </c>
      <c r="B8" s="34" t="s">
        <v>36</v>
      </c>
      <c r="C8" s="14">
        <v>1</v>
      </c>
      <c r="D8" s="49"/>
      <c r="E8" s="15">
        <v>1</v>
      </c>
      <c r="F8" s="16"/>
      <c r="G8" s="17">
        <f>Table1[[#This Row],[REAL Sofort CO2]]/kgemission_per_sp</f>
        <v>0</v>
      </c>
      <c r="H8" s="130">
        <f>Table1[[#This Row],[REAL Strombedarf]]/real_zu_spiel_strombedarf</f>
        <v>-1</v>
      </c>
      <c r="I8" s="19">
        <f>Table1[[#This Row],[REAL Stromproduktion]]/real_zu_spiel_stromproduktion</f>
        <v>0</v>
      </c>
      <c r="J8" s="51">
        <f>Table1[[#This Row],[REAL Stromspeicher]]/real_zu_spiel_stromspeicher</f>
        <v>0</v>
      </c>
      <c r="K8" s="21"/>
      <c r="L8" s="39"/>
      <c r="M8" s="47"/>
      <c r="N8" s="48"/>
      <c r="O8" s="25"/>
      <c r="P8" s="16"/>
      <c r="Q8" s="17"/>
      <c r="R8" s="18">
        <v>-5</v>
      </c>
      <c r="S8" s="19"/>
      <c r="T8" s="51"/>
      <c r="U8" s="21"/>
      <c r="V8" s="39"/>
      <c r="W8" s="143" t="s">
        <v>422</v>
      </c>
      <c r="X8" s="32" t="s">
        <v>3</v>
      </c>
      <c r="Y8" s="12" t="s">
        <v>26</v>
      </c>
      <c r="Z8" s="52"/>
      <c r="AA8" t="str">
        <f t="shared" si="0"/>
        <v>BP</v>
      </c>
      <c r="AB8" t="s">
        <v>363</v>
      </c>
    </row>
    <row r="9" spans="1:28" ht="22.5" customHeight="1" x14ac:dyDescent="0.25">
      <c r="A9" s="44" t="s">
        <v>61</v>
      </c>
      <c r="B9" s="34" t="s">
        <v>36</v>
      </c>
      <c r="C9" s="14">
        <v>1</v>
      </c>
      <c r="D9" s="45"/>
      <c r="E9" s="15">
        <v>0</v>
      </c>
      <c r="F9" s="16"/>
      <c r="G9" s="17">
        <f>Table1[[#This Row],[REAL Sofort CO2]]/kgemission_per_sp</f>
        <v>0</v>
      </c>
      <c r="H9" s="130">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142"/>
      <c r="X9" s="43"/>
      <c r="Y9" s="43"/>
      <c r="Z9" s="43"/>
      <c r="AA9" t="str">
        <f t="shared" si="0"/>
        <v>BMXXFLFLFLFLXXZM</v>
      </c>
      <c r="AB9" t="s">
        <v>364</v>
      </c>
    </row>
    <row r="10" spans="1:28" ht="22.5" customHeight="1" x14ac:dyDescent="0.25">
      <c r="A10" s="57" t="s">
        <v>65</v>
      </c>
      <c r="B10" s="34" t="s">
        <v>36</v>
      </c>
      <c r="C10" s="14">
        <v>1</v>
      </c>
      <c r="D10" s="42"/>
      <c r="E10" s="15">
        <v>2</v>
      </c>
      <c r="F10" s="16"/>
      <c r="G10" s="17">
        <f>Table1[[#This Row],[REAL Sofort CO2]]/kgemission_per_sp</f>
        <v>0</v>
      </c>
      <c r="H10" s="130">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142" t="s">
        <v>424</v>
      </c>
      <c r="X10" s="43" t="s">
        <v>0</v>
      </c>
      <c r="Y10" s="43"/>
      <c r="Z10" s="55" t="s">
        <v>73</v>
      </c>
      <c r="AA10" t="str">
        <f t="shared" si="0"/>
        <v>FLFLFLFLFL</v>
      </c>
      <c r="AB10" t="s">
        <v>365</v>
      </c>
    </row>
    <row r="11" spans="1:28" ht="22.5" customHeight="1" x14ac:dyDescent="0.25">
      <c r="A11" s="55" t="s">
        <v>73</v>
      </c>
      <c r="B11" s="34" t="s">
        <v>36</v>
      </c>
      <c r="C11" s="14">
        <v>1</v>
      </c>
      <c r="D11" s="35"/>
      <c r="E11" s="15">
        <v>1</v>
      </c>
      <c r="F11" s="16"/>
      <c r="G11" s="17">
        <f>Table1[[#This Row],[REAL Sofort CO2]]/kgemission_per_sp</f>
        <v>0</v>
      </c>
      <c r="H11" s="129">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142" t="s">
        <v>425</v>
      </c>
      <c r="X11" s="57" t="s">
        <v>0</v>
      </c>
      <c r="Y11" s="40"/>
      <c r="Z11" s="57" t="s">
        <v>65</v>
      </c>
      <c r="AA11" t="str">
        <f t="shared" si="0"/>
        <v>FLFL</v>
      </c>
      <c r="AB11" t="s">
        <v>365</v>
      </c>
    </row>
    <row r="12" spans="1:28" ht="22.5" customHeight="1" x14ac:dyDescent="0.25">
      <c r="A12" s="137" t="s">
        <v>347</v>
      </c>
      <c r="B12" s="34" t="s">
        <v>36</v>
      </c>
      <c r="C12" s="14">
        <v>1</v>
      </c>
      <c r="D12" s="40"/>
      <c r="E12" s="15">
        <v>0</v>
      </c>
      <c r="F12" s="16"/>
      <c r="G12" s="17">
        <f>Table1[[#This Row],[REAL Sofort CO2]]/kgemission_per_sp</f>
        <v>0</v>
      </c>
      <c r="H12" s="129">
        <f>Table1[[#This Row],[REAL Strombedarf]]/real_zu_spiel_strombedarf</f>
        <v>0</v>
      </c>
      <c r="I12" s="19">
        <f>Table1[[#This Row],[REAL Stromproduktion]]/real_zu_spiel_stromproduktion</f>
        <v>0</v>
      </c>
      <c r="J12" s="51">
        <f>Table1[[#This Row],[REAL Stromspeicher]]/real_zu_spiel_stromspeicher</f>
        <v>0</v>
      </c>
      <c r="K12" s="21"/>
      <c r="L12" s="39"/>
      <c r="M12" s="23"/>
      <c r="N12" s="24"/>
      <c r="O12" s="25"/>
      <c r="P12" s="16"/>
      <c r="Q12" s="26"/>
      <c r="R12" s="46"/>
      <c r="S12" s="19"/>
      <c r="T12" s="51"/>
      <c r="U12" s="21"/>
      <c r="V12" s="39"/>
      <c r="W12" s="142" t="s">
        <v>431</v>
      </c>
      <c r="X12" s="114"/>
      <c r="Y12" s="40"/>
      <c r="Z12" s="114"/>
      <c r="AA12" t="str">
        <f>_xlfn.TEXTJOIN(
"XX",
TRUE,
IF(OR(F12="",F12=0),"",REPT(IF(F12&gt;0,"EN","EM"),ABS(F12))),
IF(OR(H12="",H12=0),"",REPT(IF(H12&gt;0,"BM","BP"),ABS(H12))),
REPT("SP",I12),
REPT("FL",J12),
REPT("WS",K12),
REPT("EF",L12),
IF(OR(M12="",M12=0),"",REPT(IF(M12&gt;0,"ZU","ZM"),ABS(M12))),
IF(D12="FW","XXFW",IF(D12="BIO","XXBI",IF(D12="ABWWP","XXWP",IF(D12="WP","XXWP",IF(D12="GG","XXGG","")))))
)</f>
        <v/>
      </c>
      <c r="AB12" t="s">
        <v>366</v>
      </c>
    </row>
    <row r="13" spans="1:28" ht="22.5" customHeight="1" x14ac:dyDescent="0.25">
      <c r="A13" s="41" t="s">
        <v>93</v>
      </c>
      <c r="B13" s="34" t="s">
        <v>36</v>
      </c>
      <c r="C13" s="14">
        <v>1</v>
      </c>
      <c r="D13" s="42"/>
      <c r="E13" s="15">
        <v>0</v>
      </c>
      <c r="F13" s="16"/>
      <c r="G13" s="17">
        <f>Table1[[#This Row],[REAL Sofort CO2]]/kgemission_per_sp</f>
        <v>0</v>
      </c>
      <c r="H13" s="129">
        <f>Table1[[#This Row],[REAL Strombedarf]]/real_zu_spiel_strombedarf</f>
        <v>0</v>
      </c>
      <c r="I13" s="19">
        <f>Table1[[#This Row],[REAL Stromproduktion]]/real_zu_spiel_stromproduktion</f>
        <v>0</v>
      </c>
      <c r="J13" s="51">
        <f>Table1[[#This Row],[REAL Stromspeicher]]/real_zu_spiel_stromspeicher</f>
        <v>2</v>
      </c>
      <c r="K13" s="21"/>
      <c r="L13" s="39"/>
      <c r="M13" s="47">
        <v>-1</v>
      </c>
      <c r="N13" s="48"/>
      <c r="O13" s="25"/>
      <c r="P13" s="16"/>
      <c r="Q13" s="17"/>
      <c r="R13" s="46"/>
      <c r="S13" s="19"/>
      <c r="T13" s="51">
        <v>10</v>
      </c>
      <c r="U13" s="21"/>
      <c r="V13" s="39"/>
      <c r="W13" s="143" t="s">
        <v>422</v>
      </c>
      <c r="X13" s="54" t="s">
        <v>3</v>
      </c>
      <c r="Y13" s="54" t="s">
        <v>26</v>
      </c>
      <c r="Z13" s="54"/>
      <c r="AA13" t="str">
        <f t="shared" si="0"/>
        <v>FLFLXXZM</v>
      </c>
      <c r="AB13" t="s">
        <v>367</v>
      </c>
    </row>
    <row r="14" spans="1:28" ht="22.5" customHeight="1" x14ac:dyDescent="0.25">
      <c r="A14" s="44" t="s">
        <v>30</v>
      </c>
      <c r="B14" s="34" t="s">
        <v>31</v>
      </c>
      <c r="C14" s="14">
        <v>1</v>
      </c>
      <c r="D14" s="45"/>
      <c r="E14" s="15">
        <v>1</v>
      </c>
      <c r="F14" s="36"/>
      <c r="G14" s="37">
        <f>Table1[[#This Row],[REAL Sofort CO2]]/kgemission_per_sp</f>
        <v>10</v>
      </c>
      <c r="H14" s="129">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37">
        <v>10</v>
      </c>
      <c r="R14" s="46"/>
      <c r="S14" s="19"/>
      <c r="T14" s="20"/>
      <c r="U14" s="21"/>
      <c r="V14" s="39"/>
      <c r="W14" s="142"/>
      <c r="X14" s="43"/>
      <c r="Y14" s="43"/>
      <c r="Z14" s="43"/>
      <c r="AA14" t="str">
        <f t="shared" si="0"/>
        <v>ZU</v>
      </c>
      <c r="AB14" t="s">
        <v>368</v>
      </c>
    </row>
    <row r="15" spans="1:28" ht="22.5" customHeight="1" x14ac:dyDescent="0.25">
      <c r="A15" s="41" t="s">
        <v>34</v>
      </c>
      <c r="B15" s="34" t="s">
        <v>31</v>
      </c>
      <c r="C15" s="14">
        <v>1</v>
      </c>
      <c r="D15" s="42"/>
      <c r="E15" s="15">
        <v>1</v>
      </c>
      <c r="F15" s="16"/>
      <c r="G15" s="17">
        <f>Table1[[#This Row],[REAL Sofort CO2]]/kgemission_per_sp</f>
        <v>0</v>
      </c>
      <c r="H15" s="129">
        <f>Table1[[#This Row],[REAL Strombedarf]]/real_zu_spiel_strombedarf</f>
        <v>0</v>
      </c>
      <c r="I15" s="19">
        <f>Table1[[#This Row],[REAL Stromproduktion]]/real_zu_spiel_stromproduktion</f>
        <v>0</v>
      </c>
      <c r="J15" s="20">
        <f>Table1[[#This Row],[REAL Stromspeicher]]/real_zu_spiel_stromspeicher</f>
        <v>0</v>
      </c>
      <c r="K15" s="21"/>
      <c r="L15" s="39"/>
      <c r="M15" s="47">
        <v>1</v>
      </c>
      <c r="N15" s="48"/>
      <c r="O15" s="25"/>
      <c r="P15" s="16"/>
      <c r="Q15" s="17"/>
      <c r="R15" s="46"/>
      <c r="S15" s="19"/>
      <c r="T15" s="20"/>
      <c r="U15" s="21"/>
      <c r="V15" s="39"/>
      <c r="W15" s="142"/>
      <c r="X15" s="43"/>
      <c r="Y15" s="43"/>
      <c r="Z15" s="43"/>
      <c r="AA15" t="str">
        <f t="shared" si="0"/>
        <v>ZU</v>
      </c>
      <c r="AB15" t="s">
        <v>369</v>
      </c>
    </row>
    <row r="16" spans="1:28" ht="22.5" customHeight="1" x14ac:dyDescent="0.25">
      <c r="A16" s="41" t="s">
        <v>353</v>
      </c>
      <c r="B16" s="34" t="s">
        <v>31</v>
      </c>
      <c r="C16" s="14">
        <v>1</v>
      </c>
      <c r="D16" s="45"/>
      <c r="E16" s="15">
        <v>2</v>
      </c>
      <c r="F16" s="16">
        <v>-6</v>
      </c>
      <c r="G16" s="17">
        <f>Table1[[#This Row],[REAL Sofort CO2]]/kgemission_per_sp</f>
        <v>0</v>
      </c>
      <c r="H16" s="130">
        <f>Table1[[#This Row],[REAL Strombedarf]]/real_zu_spiel_strombedarf</f>
        <v>4</v>
      </c>
      <c r="I16" s="19">
        <f>Table1[[#This Row],[REAL Stromproduktion]]/real_zu_spiel_stromproduktion</f>
        <v>0</v>
      </c>
      <c r="J16" s="51">
        <f>Table1[[#This Row],[REAL Stromspeicher]]/real_zu_spiel_stromspeicher</f>
        <v>6</v>
      </c>
      <c r="K16" s="21"/>
      <c r="L16" s="39"/>
      <c r="M16" s="47">
        <v>2</v>
      </c>
      <c r="N16" s="48"/>
      <c r="O16" s="25"/>
      <c r="P16" s="16"/>
      <c r="Q16" s="17"/>
      <c r="R16" s="18">
        <v>20</v>
      </c>
      <c r="S16" s="19"/>
      <c r="T16" s="51">
        <v>30</v>
      </c>
      <c r="U16" s="21"/>
      <c r="V16" s="39"/>
      <c r="W16" s="142" t="s">
        <v>426</v>
      </c>
      <c r="X16" s="43" t="s">
        <v>0</v>
      </c>
      <c r="Y16" s="43"/>
      <c r="Z16" s="41" t="s">
        <v>351</v>
      </c>
      <c r="AA16" t="str">
        <f t="shared" si="0"/>
        <v>EMEMEMEMEMEMXXBMBMBMBMXXFLFLFLFLFLFLXXZUZU</v>
      </c>
      <c r="AB16" t="s">
        <v>370</v>
      </c>
    </row>
    <row r="17" spans="1:28" ht="22.5" customHeight="1" x14ac:dyDescent="0.25">
      <c r="A17" s="41" t="s">
        <v>354</v>
      </c>
      <c r="B17" s="34" t="s">
        <v>31</v>
      </c>
      <c r="C17" s="14">
        <v>1</v>
      </c>
      <c r="D17" s="45"/>
      <c r="E17" s="15">
        <v>1</v>
      </c>
      <c r="F17" s="16">
        <v>-3</v>
      </c>
      <c r="G17" s="17">
        <f>Table1[[#This Row],[REAL Sofort CO2]]/kgemission_per_sp</f>
        <v>0</v>
      </c>
      <c r="H17" s="130">
        <f>Table1[[#This Row],[REAL Strombedarf]]/real_zu_spiel_strombedarf</f>
        <v>2</v>
      </c>
      <c r="I17" s="19">
        <f>Table1[[#This Row],[REAL Stromproduktion]]/real_zu_spiel_stromproduktion</f>
        <v>0</v>
      </c>
      <c r="J17" s="51">
        <f>Table1[[#This Row],[REAL Stromspeicher]]/real_zu_spiel_stromspeicher</f>
        <v>3</v>
      </c>
      <c r="K17" s="21"/>
      <c r="L17" s="39"/>
      <c r="M17" s="47">
        <v>1</v>
      </c>
      <c r="N17" s="48"/>
      <c r="O17" s="25"/>
      <c r="P17" s="16"/>
      <c r="Q17" s="17"/>
      <c r="R17" s="18">
        <v>10</v>
      </c>
      <c r="S17" s="19"/>
      <c r="T17" s="51">
        <v>15</v>
      </c>
      <c r="U17" s="21"/>
      <c r="V17" s="39"/>
      <c r="W17" s="142" t="s">
        <v>427</v>
      </c>
      <c r="X17" s="43" t="s">
        <v>0</v>
      </c>
      <c r="Y17" s="43"/>
      <c r="Z17" s="41" t="s">
        <v>37</v>
      </c>
      <c r="AA17" t="str">
        <f t="shared" ref="AA17" si="1">_xlfn.TEXTJOIN(
"XX",
TRUE,
IF(OR(F17="",F17=0),"",REPT(IF(F17&gt;0,"EN","EM"),ABS(F17))),
IF(OR(H17="",H17=0),"",REPT(IF(H17&gt;0,"BM","BP"),ABS(H17))),
REPT("SP",I17),
REPT("FL",J17),
REPT("WS",K17),
REPT("EF",L17),
IF(OR(M17="",M17=0),"",REPT(IF(M17&gt;0,"ZU","ZM"),ABS(M17))),
IF(D17="FW","XXFW",IF(D17="BIO","XXBI",IF(D17="ABWWP","XXWP",IF(D17="WP","XXWP",IF(D17="GG","XXGG","")))))
)</f>
        <v>EMEMEMXXBMBMXXFLFLFLXXZU</v>
      </c>
      <c r="AB17" t="s">
        <v>370</v>
      </c>
    </row>
    <row r="18" spans="1:28" ht="22.5" customHeight="1" x14ac:dyDescent="0.25">
      <c r="A18" s="41" t="s">
        <v>355</v>
      </c>
      <c r="B18" s="34" t="s">
        <v>33</v>
      </c>
      <c r="C18" s="14">
        <v>1</v>
      </c>
      <c r="D18" s="43"/>
      <c r="E18" s="15">
        <v>1</v>
      </c>
      <c r="F18" s="16">
        <v>-1</v>
      </c>
      <c r="G18" s="17">
        <f>Table1[[#This Row],[REAL Sofort CO2]]/kgemission_per_sp</f>
        <v>0</v>
      </c>
      <c r="H18" s="130">
        <f>Table1[[#This Row],[REAL Strombedarf]]/real_zu_spiel_strombedarf</f>
        <v>0</v>
      </c>
      <c r="I18" s="19">
        <f>Table1[[#This Row],[REAL Stromproduktion]]/real_zu_spiel_stromproduktion</f>
        <v>0</v>
      </c>
      <c r="J18" s="51">
        <f>Table1[[#This Row],[REAL Stromspeicher]]/real_zu_spiel_stromspeicher</f>
        <v>0</v>
      </c>
      <c r="K18" s="21"/>
      <c r="L18" s="39"/>
      <c r="M18" s="47"/>
      <c r="N18" s="48"/>
      <c r="O18" s="25"/>
      <c r="P18" s="16"/>
      <c r="Q18" s="26"/>
      <c r="R18" s="18"/>
      <c r="S18" s="19"/>
      <c r="T18" s="51"/>
      <c r="U18" s="21"/>
      <c r="V18" s="39"/>
      <c r="W18" s="142"/>
      <c r="X18" s="43"/>
      <c r="Y18" s="43"/>
      <c r="Z18" s="54"/>
      <c r="AA18" t="str">
        <f>_xlfn.TEXTJOIN(
"XX",
TRUE,
IF(OR(F18="",F18=0),"",REPT(IF(F18&gt;0,"EN","EM"),ABS(F18))),
IF(OR(H18="",H18=0),"",REPT(IF(H18&gt;0,"BM","BP"),ABS(H18))),
REPT("SP",I18),
REPT("FL",J18),
REPT("WS",K18),
REPT("EF",L18),
IF(OR(M18="",M18=0),"",REPT(IF(M18&gt;0,"ZU","ZM"),ABS(M18))),
IF(D18="FW","XXFW",IF(D18="BIO","XXBI",IF(D18="ABWWP","XXWP",IF(D18="WP","XXWP",IF(D18="GG","XXGG","")))))
)</f>
        <v>EM</v>
      </c>
      <c r="AB18" t="s">
        <v>371</v>
      </c>
    </row>
    <row r="19" spans="1:28" ht="22.5" customHeight="1" x14ac:dyDescent="0.25">
      <c r="A19" s="57" t="s">
        <v>51</v>
      </c>
      <c r="B19" s="34" t="s">
        <v>31</v>
      </c>
      <c r="C19" s="14">
        <v>1</v>
      </c>
      <c r="D19" s="49"/>
      <c r="E19" s="15">
        <v>2</v>
      </c>
      <c r="F19" s="36">
        <v>0</v>
      </c>
      <c r="G19" s="37">
        <f>Table1[[#This Row],[REAL Sofort CO2]]/kgemission_per_sp</f>
        <v>0</v>
      </c>
      <c r="H19" s="130">
        <f>Table1[[#This Row],[REAL Strombedarf]]/real_zu_spiel_strombedarf</f>
        <v>0</v>
      </c>
      <c r="I19" s="19">
        <f>Table1[[#This Row],[REAL Stromproduktion]]/real_zu_spiel_stromproduktion</f>
        <v>0</v>
      </c>
      <c r="J19" s="20">
        <f>Table1[[#This Row],[REAL Stromspeicher]]/real_zu_spiel_stromspeicher</f>
        <v>0</v>
      </c>
      <c r="K19" s="21"/>
      <c r="L19" s="39"/>
      <c r="M19" s="47">
        <v>1</v>
      </c>
      <c r="N19" s="48"/>
      <c r="O19" s="25"/>
      <c r="P19" s="16"/>
      <c r="Q19" s="37"/>
      <c r="R19" s="18">
        <v>0</v>
      </c>
      <c r="S19" s="19"/>
      <c r="T19" s="20"/>
      <c r="U19" s="21"/>
      <c r="V19" s="39"/>
      <c r="W19" s="142" t="s">
        <v>428</v>
      </c>
      <c r="X19" s="32" t="s">
        <v>0</v>
      </c>
      <c r="Y19" s="32"/>
      <c r="Z19" s="113" t="s">
        <v>52</v>
      </c>
      <c r="AA19" t="str">
        <f t="shared" si="0"/>
        <v>ZU</v>
      </c>
      <c r="AB19" t="s">
        <v>372</v>
      </c>
    </row>
    <row r="20" spans="1:28" ht="22.5" customHeight="1" x14ac:dyDescent="0.25">
      <c r="A20" s="33" t="s">
        <v>71</v>
      </c>
      <c r="B20" s="34" t="s">
        <v>31</v>
      </c>
      <c r="C20" s="14">
        <v>1</v>
      </c>
      <c r="D20" s="35"/>
      <c r="E20" s="15">
        <v>2</v>
      </c>
      <c r="F20" s="36">
        <v>-1</v>
      </c>
      <c r="G20" s="37">
        <f>Table1[[#This Row],[REAL Sofort CO2]]/kgemission_per_sp</f>
        <v>0</v>
      </c>
      <c r="H20" s="130">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42"/>
      <c r="X20" s="40"/>
      <c r="Y20" s="40"/>
      <c r="Z20" s="40"/>
      <c r="AA20" t="str">
        <f t="shared" si="0"/>
        <v>EM</v>
      </c>
      <c r="AB20" t="s">
        <v>373</v>
      </c>
    </row>
    <row r="21" spans="1:28" ht="22.5" customHeight="1" x14ac:dyDescent="0.25">
      <c r="A21" s="12" t="s">
        <v>75</v>
      </c>
      <c r="B21" s="34" t="s">
        <v>31</v>
      </c>
      <c r="C21" s="14">
        <v>1</v>
      </c>
      <c r="D21" s="49"/>
      <c r="E21" s="15">
        <v>2</v>
      </c>
      <c r="F21" s="36"/>
      <c r="G21" s="37">
        <f>Table1[[#This Row],[REAL Sofort CO2]]/kgemission_per_sp</f>
        <v>10</v>
      </c>
      <c r="H21" s="130">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42"/>
      <c r="X21" s="40"/>
      <c r="Y21" s="40"/>
      <c r="Z21" s="40"/>
      <c r="AA21" t="str">
        <f t="shared" si="0"/>
        <v>BMXXZUZU</v>
      </c>
      <c r="AB21" t="s">
        <v>374</v>
      </c>
    </row>
    <row r="22" spans="1:28" ht="22.5" customHeight="1" x14ac:dyDescent="0.25">
      <c r="A22" s="33" t="s">
        <v>346</v>
      </c>
      <c r="B22" s="34" t="s">
        <v>31</v>
      </c>
      <c r="C22" s="14">
        <v>1</v>
      </c>
      <c r="D22" s="35"/>
      <c r="E22" s="15">
        <v>1</v>
      </c>
      <c r="F22" s="16"/>
      <c r="G22" s="17">
        <f>Table1[[#This Row],[REAL Sofort CO2]]/kgemission_per_sp</f>
        <v>0</v>
      </c>
      <c r="H22" s="130">
        <f>Table1[[#This Row],[REAL Strombedarf]]/real_zu_spiel_strombedarf</f>
        <v>0</v>
      </c>
      <c r="I22" s="19">
        <f>Table1[[#This Row],[REAL Stromproduktion]]/real_zu_spiel_stromproduktion</f>
        <v>0</v>
      </c>
      <c r="J22" s="20">
        <f>Table1[[#This Row],[REAL Stromspeicher]]/real_zu_spiel_stromspeicher</f>
        <v>0</v>
      </c>
      <c r="K22" s="21"/>
      <c r="L22" s="22"/>
      <c r="M22" s="47">
        <v>1</v>
      </c>
      <c r="N22" s="48"/>
      <c r="O22" s="25"/>
      <c r="P22" s="16"/>
      <c r="Q22" s="17"/>
      <c r="R22" s="18"/>
      <c r="S22" s="19"/>
      <c r="T22" s="20"/>
      <c r="U22" s="21"/>
      <c r="V22" s="22">
        <v>1</v>
      </c>
      <c r="W22" s="143"/>
      <c r="X22" s="32"/>
      <c r="Y22" s="32"/>
      <c r="Z22" s="12"/>
      <c r="AA22" t="str">
        <f t="shared" si="0"/>
        <v>ZU</v>
      </c>
      <c r="AB22" t="s">
        <v>375</v>
      </c>
    </row>
    <row r="23" spans="1:28" ht="22.5" customHeight="1" x14ac:dyDescent="0.25">
      <c r="A23" s="41" t="s">
        <v>43</v>
      </c>
      <c r="B23" s="34" t="s">
        <v>44</v>
      </c>
      <c r="C23" s="14">
        <v>1</v>
      </c>
      <c r="D23" s="42"/>
      <c r="E23" s="15">
        <v>2</v>
      </c>
      <c r="F23" s="16"/>
      <c r="G23" s="17">
        <f>Table1[[#This Row],[REAL Sofort CO2]]/kgemission_per_sp</f>
        <v>0</v>
      </c>
      <c r="H23" s="130">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143" t="s">
        <v>429</v>
      </c>
      <c r="X23" s="54" t="s">
        <v>10</v>
      </c>
      <c r="Y23" s="54">
        <v>3</v>
      </c>
      <c r="Z23" s="44"/>
      <c r="AA23" t="str">
        <f t="shared" si="0"/>
        <v>EFEF</v>
      </c>
      <c r="AB23" t="s">
        <v>376</v>
      </c>
    </row>
    <row r="24" spans="1:28" ht="22.5" customHeight="1" x14ac:dyDescent="0.25">
      <c r="A24" s="33" t="s">
        <v>63</v>
      </c>
      <c r="B24" s="34" t="s">
        <v>44</v>
      </c>
      <c r="C24" s="14">
        <v>1</v>
      </c>
      <c r="D24" s="35"/>
      <c r="E24" s="15">
        <v>3</v>
      </c>
      <c r="F24" s="16"/>
      <c r="G24" s="17">
        <f>Table1[[#This Row],[REAL Sofort CO2]]/kgemission_per_sp</f>
        <v>0</v>
      </c>
      <c r="H24" s="130">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143" t="s">
        <v>430</v>
      </c>
      <c r="X24" s="32" t="s">
        <v>10</v>
      </c>
      <c r="Y24" s="32">
        <v>5</v>
      </c>
      <c r="Z24" s="32"/>
      <c r="AA24" t="str">
        <f t="shared" si="0"/>
        <v>EFEFXXZU</v>
      </c>
      <c r="AB24" t="s">
        <v>377</v>
      </c>
    </row>
    <row r="25" spans="1:28" ht="22.5" customHeight="1" x14ac:dyDescent="0.25">
      <c r="A25" s="12" t="s">
        <v>80</v>
      </c>
      <c r="B25" s="34" t="s">
        <v>44</v>
      </c>
      <c r="C25" s="14">
        <v>1</v>
      </c>
      <c r="D25" s="49"/>
      <c r="E25" s="15">
        <v>1</v>
      </c>
      <c r="F25" s="16"/>
      <c r="G25" s="17">
        <f>Table1[[#This Row],[REAL Sofort CO2]]/kgemission_per_sp</f>
        <v>0</v>
      </c>
      <c r="H25" s="130">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143" t="s">
        <v>429</v>
      </c>
      <c r="X25" s="32" t="s">
        <v>10</v>
      </c>
      <c r="Y25" s="32">
        <v>3</v>
      </c>
      <c r="Z25" s="32"/>
      <c r="AA25" t="str">
        <f t="shared" si="0"/>
        <v>EF</v>
      </c>
      <c r="AB25" t="s">
        <v>378</v>
      </c>
    </row>
    <row r="26" spans="1:28" ht="22.5" customHeight="1" x14ac:dyDescent="0.25">
      <c r="A26" s="44" t="s">
        <v>85</v>
      </c>
      <c r="B26" s="34" t="s">
        <v>44</v>
      </c>
      <c r="C26" s="14">
        <v>1</v>
      </c>
      <c r="D26" s="45"/>
      <c r="E26" s="15">
        <v>0</v>
      </c>
      <c r="F26" s="16"/>
      <c r="G26" s="17">
        <f>Table1[[#This Row],[REAL Sofort CO2]]/kgemission_per_sp</f>
        <v>0</v>
      </c>
      <c r="H26" s="130">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143" t="s">
        <v>429</v>
      </c>
      <c r="X26" s="54" t="s">
        <v>10</v>
      </c>
      <c r="Y26" s="54">
        <v>3</v>
      </c>
      <c r="Z26" s="54"/>
      <c r="AA26" t="str">
        <f t="shared" si="0"/>
        <v>EFXXZM</v>
      </c>
      <c r="AB26" t="s">
        <v>379</v>
      </c>
    </row>
    <row r="27" spans="1:28" ht="22.5" customHeight="1" x14ac:dyDescent="0.25">
      <c r="A27" s="41" t="s">
        <v>92</v>
      </c>
      <c r="B27" s="34" t="s">
        <v>44</v>
      </c>
      <c r="C27" s="14">
        <v>0</v>
      </c>
      <c r="D27" s="42"/>
      <c r="E27" s="15">
        <v>999</v>
      </c>
      <c r="F27" s="16"/>
      <c r="G27" s="17">
        <f>Table1[[#This Row],[REAL Sofort CO2]]/kgemission_per_sp</f>
        <v>0</v>
      </c>
      <c r="H27" s="130">
        <f>Table1[[#This Row],[REAL Strombedarf]]/real_zu_spiel_strombedarf</f>
        <v>1</v>
      </c>
      <c r="I27" s="19">
        <f>Table1[[#This Row],[REAL Stromproduktion]]/real_zu_spiel_stromproduktion</f>
        <v>0</v>
      </c>
      <c r="J27" s="51">
        <f>Table1[[#This Row],[REAL Stromspeicher]]/real_zu_spiel_stromspeicher</f>
        <v>1</v>
      </c>
      <c r="K27" s="38">
        <v>1</v>
      </c>
      <c r="L27" s="22">
        <v>1</v>
      </c>
      <c r="M27" s="47">
        <v>1</v>
      </c>
      <c r="N27" s="48"/>
      <c r="O27" s="25"/>
      <c r="P27" s="16"/>
      <c r="Q27" s="17"/>
      <c r="R27" s="18">
        <v>5</v>
      </c>
      <c r="S27" s="19"/>
      <c r="T27" s="51">
        <v>5</v>
      </c>
      <c r="U27" s="38">
        <v>1</v>
      </c>
      <c r="V27" s="22">
        <v>1</v>
      </c>
      <c r="W27" s="143"/>
      <c r="X27" s="54"/>
      <c r="Y27" s="54"/>
      <c r="Z27" s="54"/>
      <c r="AA27" t="str">
        <f t="shared" si="0"/>
        <v>BMXXFLXXWSXXEFXXZU</v>
      </c>
      <c r="AB27" t="s">
        <v>380</v>
      </c>
    </row>
    <row r="28" spans="1:28" ht="22.5" customHeight="1" x14ac:dyDescent="0.25">
      <c r="A28" s="60" t="s">
        <v>97</v>
      </c>
      <c r="B28" s="34" t="s">
        <v>44</v>
      </c>
      <c r="C28" s="14">
        <v>1</v>
      </c>
      <c r="D28" s="35"/>
      <c r="E28" s="15">
        <v>2</v>
      </c>
      <c r="F28" s="16"/>
      <c r="G28" s="17">
        <f>Table1[[#This Row],[REAL Sofort CO2]]/kgemission_per_sp</f>
        <v>0</v>
      </c>
      <c r="H28" s="130">
        <f>Table1[[#This Row],[REAL Strombedarf]]/real_zu_spiel_strombedarf</f>
        <v>0</v>
      </c>
      <c r="I28" s="19">
        <f>Table1[[#This Row],[REAL Stromproduktion]]/real_zu_spiel_stromproduktion</f>
        <v>0</v>
      </c>
      <c r="J28" s="20">
        <f>Table1[[#This Row],[REAL Stromspeicher]]/real_zu_spiel_stromspeicher</f>
        <v>0</v>
      </c>
      <c r="K28" s="21"/>
      <c r="L28" s="22">
        <v>2</v>
      </c>
      <c r="M28" s="23"/>
      <c r="N28" s="24"/>
      <c r="O28" s="25"/>
      <c r="P28" s="16"/>
      <c r="Q28" s="17"/>
      <c r="R28" s="18">
        <v>0</v>
      </c>
      <c r="S28" s="19"/>
      <c r="T28" s="20"/>
      <c r="U28" s="21"/>
      <c r="V28" s="22">
        <v>2</v>
      </c>
      <c r="W28" s="143" t="s">
        <v>430</v>
      </c>
      <c r="X28" s="54" t="s">
        <v>10</v>
      </c>
      <c r="Y28" s="32">
        <v>5</v>
      </c>
      <c r="Z28" s="32"/>
      <c r="AA28" t="str">
        <f t="shared" si="0"/>
        <v>EFEF</v>
      </c>
      <c r="AB28" t="s">
        <v>381</v>
      </c>
    </row>
    <row r="29" spans="1:28" ht="22.5" customHeight="1" x14ac:dyDescent="0.25">
      <c r="A29" s="60" t="s">
        <v>40</v>
      </c>
      <c r="B29" s="34" t="s">
        <v>41</v>
      </c>
      <c r="C29" s="14">
        <v>1</v>
      </c>
      <c r="D29" s="49"/>
      <c r="E29" s="15">
        <v>2</v>
      </c>
      <c r="F29" s="36">
        <v>0</v>
      </c>
      <c r="G29" s="37">
        <f>Table1[[#This Row],[REAL Sofort CO2]]/kgemission_per_sp</f>
        <v>0</v>
      </c>
      <c r="H29" s="130">
        <f>Table1[[#This Row],[REAL Strombedarf]]/real_zu_spiel_strombedarf</f>
        <v>0</v>
      </c>
      <c r="I29" s="19">
        <f>Table1[[#This Row],[REAL Stromproduktion]]/real_zu_spiel_stromproduktion</f>
        <v>0</v>
      </c>
      <c r="J29" s="20">
        <f>Table1[[#This Row],[REAL Stromspeicher]]/real_zu_spiel_stromspeicher</f>
        <v>0</v>
      </c>
      <c r="K29" s="21"/>
      <c r="L29" s="39"/>
      <c r="M29" s="47">
        <v>1</v>
      </c>
      <c r="N29" s="48"/>
      <c r="O29" s="25"/>
      <c r="P29" s="16"/>
      <c r="Q29" s="37"/>
      <c r="R29" s="18">
        <v>0</v>
      </c>
      <c r="S29" s="19"/>
      <c r="T29" s="20"/>
      <c r="U29" s="21"/>
      <c r="V29" s="39"/>
      <c r="W29" s="142"/>
      <c r="X29" s="40"/>
      <c r="Y29" s="40"/>
      <c r="Z29" s="40"/>
      <c r="AA29" t="str">
        <f t="shared" si="0"/>
        <v>ZU</v>
      </c>
      <c r="AB29" t="s">
        <v>382</v>
      </c>
    </row>
    <row r="30" spans="1:28" ht="22.5" customHeight="1" x14ac:dyDescent="0.25">
      <c r="A30" s="60" t="s">
        <v>64</v>
      </c>
      <c r="B30" s="34" t="s">
        <v>41</v>
      </c>
      <c r="C30" s="14">
        <v>1</v>
      </c>
      <c r="D30" s="35"/>
      <c r="E30" s="15">
        <v>3</v>
      </c>
      <c r="F30" s="16"/>
      <c r="G30" s="17">
        <f>Table1[[#This Row],[REAL Sofort CO2]]/kgemission_per_sp</f>
        <v>0</v>
      </c>
      <c r="H30" s="129">
        <f>Table1[[#This Row],[REAL Strombedarf]]/real_zu_spiel_strombedarf</f>
        <v>0</v>
      </c>
      <c r="I30" s="50">
        <f>Table1[[#This Row],[REAL Stromproduktion]]/real_zu_spiel_stromproduktion</f>
        <v>8</v>
      </c>
      <c r="J30" s="20">
        <f>Table1[[#This Row],[REAL Stromspeicher]]/real_zu_spiel_stromspeicher</f>
        <v>0</v>
      </c>
      <c r="K30" s="21"/>
      <c r="L30" s="39"/>
      <c r="M30" s="23"/>
      <c r="N30" s="24"/>
      <c r="O30" s="25"/>
      <c r="P30" s="16"/>
      <c r="Q30" s="17"/>
      <c r="R30" s="46"/>
      <c r="S30" s="50">
        <v>40</v>
      </c>
      <c r="T30" s="20"/>
      <c r="U30" s="21"/>
      <c r="V30" s="39"/>
      <c r="W30" s="142"/>
      <c r="X30" s="40"/>
      <c r="Y30" s="40"/>
      <c r="Z30" s="40"/>
      <c r="AA30" t="str">
        <f t="shared" si="0"/>
        <v>SPSPSPSPSPSPSPSP</v>
      </c>
      <c r="AB30" t="s">
        <v>383</v>
      </c>
    </row>
    <row r="31" spans="1:28" ht="22.5" customHeight="1" x14ac:dyDescent="0.25">
      <c r="A31" s="62" t="s">
        <v>72</v>
      </c>
      <c r="B31" s="34" t="s">
        <v>41</v>
      </c>
      <c r="C31" s="14">
        <v>1</v>
      </c>
      <c r="D31" s="49"/>
      <c r="E31" s="15">
        <v>1</v>
      </c>
      <c r="F31" s="16"/>
      <c r="G31" s="17">
        <f>Table1[[#This Row],[REAL Sofort CO2]]/kgemission_per_sp</f>
        <v>0</v>
      </c>
      <c r="H31" s="129">
        <f>Table1[[#This Row],[REAL Strombedarf]]/real_zu_spiel_strombedarf</f>
        <v>0</v>
      </c>
      <c r="I31" s="50">
        <f>Table1[[#This Row],[REAL Stromproduktion]]/real_zu_spiel_stromproduktion</f>
        <v>2</v>
      </c>
      <c r="J31" s="20">
        <f>Table1[[#This Row],[REAL Stromspeicher]]/real_zu_spiel_stromspeicher</f>
        <v>0</v>
      </c>
      <c r="K31" s="21"/>
      <c r="L31" s="39"/>
      <c r="M31" s="23"/>
      <c r="N31" s="24"/>
      <c r="O31" s="25"/>
      <c r="P31" s="16"/>
      <c r="Q31" s="17"/>
      <c r="R31" s="46"/>
      <c r="S31" s="50">
        <v>10</v>
      </c>
      <c r="T31" s="20"/>
      <c r="U31" s="21"/>
      <c r="V31" s="39"/>
      <c r="W31" s="142"/>
      <c r="X31" s="40"/>
      <c r="Y31" s="40"/>
      <c r="Z31" s="40"/>
      <c r="AA31" t="str">
        <f t="shared" si="0"/>
        <v>SPSP</v>
      </c>
      <c r="AB31" t="s">
        <v>384</v>
      </c>
    </row>
    <row r="32" spans="1:28" ht="22.5" customHeight="1" x14ac:dyDescent="0.25">
      <c r="A32" s="33" t="s">
        <v>79</v>
      </c>
      <c r="B32" s="34" t="s">
        <v>41</v>
      </c>
      <c r="C32" s="14">
        <v>1</v>
      </c>
      <c r="D32" s="45"/>
      <c r="E32" s="15">
        <v>2</v>
      </c>
      <c r="F32" s="16"/>
      <c r="G32" s="17">
        <f>Table1[[#This Row],[REAL Sofort CO2]]/kgemission_per_sp</f>
        <v>0</v>
      </c>
      <c r="H32" s="129">
        <f>Table1[[#This Row],[REAL Strombedarf]]/real_zu_spiel_strombedarf</f>
        <v>0</v>
      </c>
      <c r="I32" s="50">
        <f>Table1[[#This Row],[REAL Stromproduktion]]/real_zu_spiel_stromproduktion</f>
        <v>4</v>
      </c>
      <c r="J32" s="20">
        <f>Table1[[#This Row],[REAL Stromspeicher]]/real_zu_spiel_stromspeicher</f>
        <v>0</v>
      </c>
      <c r="K32" s="21"/>
      <c r="L32" s="39"/>
      <c r="M32" s="23"/>
      <c r="N32" s="24"/>
      <c r="O32" s="25"/>
      <c r="P32" s="16"/>
      <c r="Q32" s="17"/>
      <c r="R32" s="46"/>
      <c r="S32" s="50">
        <v>20</v>
      </c>
      <c r="T32" s="20"/>
      <c r="U32" s="21"/>
      <c r="V32" s="39"/>
      <c r="W32" s="142"/>
      <c r="X32" s="43"/>
      <c r="Y32" s="43"/>
      <c r="Z32" s="43"/>
      <c r="AA32" t="str">
        <f t="shared" si="0"/>
        <v>SPSPSPSP</v>
      </c>
      <c r="AB32" t="s">
        <v>385</v>
      </c>
    </row>
    <row r="33" spans="1:28" ht="22.5" customHeight="1" x14ac:dyDescent="0.25">
      <c r="A33" s="60" t="s">
        <v>83</v>
      </c>
      <c r="B33" s="34" t="s">
        <v>41</v>
      </c>
      <c r="C33" s="14">
        <v>1</v>
      </c>
      <c r="D33" s="49"/>
      <c r="E33" s="15">
        <v>2</v>
      </c>
      <c r="F33" s="16"/>
      <c r="G33" s="17">
        <f>Table1[[#This Row],[REAL Sofort CO2]]/kgemission_per_sp</f>
        <v>0</v>
      </c>
      <c r="H33" s="129">
        <f>Table1[[#This Row],[REAL Strombedarf]]/real_zu_spiel_strombedarf</f>
        <v>0</v>
      </c>
      <c r="I33" s="50">
        <f>Table1[[#This Row],[REAL Stromproduktion]]/real_zu_spiel_stromproduktion</f>
        <v>3</v>
      </c>
      <c r="J33" s="20">
        <f>Table1[[#This Row],[REAL Stromspeicher]]/real_zu_spiel_stromspeicher</f>
        <v>0</v>
      </c>
      <c r="K33" s="21"/>
      <c r="L33" s="39"/>
      <c r="M33" s="23"/>
      <c r="N33" s="24"/>
      <c r="O33" s="25"/>
      <c r="P33" s="16"/>
      <c r="Q33" s="17"/>
      <c r="R33" s="46"/>
      <c r="S33" s="50">
        <v>15</v>
      </c>
      <c r="T33" s="20"/>
      <c r="U33" s="21"/>
      <c r="V33" s="39"/>
      <c r="W33" s="142"/>
      <c r="X33" s="40"/>
      <c r="Y33" s="40"/>
      <c r="Z33" s="40"/>
      <c r="AA33" t="str">
        <f t="shared" si="0"/>
        <v>SPSPSP</v>
      </c>
      <c r="AB33" t="s">
        <v>386</v>
      </c>
    </row>
    <row r="34" spans="1:28" ht="22.5" customHeight="1" x14ac:dyDescent="0.25">
      <c r="A34" s="44" t="s">
        <v>84</v>
      </c>
      <c r="B34" s="63" t="s">
        <v>41</v>
      </c>
      <c r="C34" s="14">
        <v>1</v>
      </c>
      <c r="D34" s="45"/>
      <c r="E34" s="15">
        <v>3</v>
      </c>
      <c r="F34" s="16"/>
      <c r="G34" s="17">
        <f>Table1[[#This Row],[REAL Sofort CO2]]/kgemission_per_sp</f>
        <v>0</v>
      </c>
      <c r="H34" s="129">
        <f>Table1[[#This Row],[REAL Strombedarf]]/real_zu_spiel_strombedarf</f>
        <v>0</v>
      </c>
      <c r="I34" s="50">
        <f>Table1[[#This Row],[REAL Stromproduktion]]/real_zu_spiel_stromproduktion</f>
        <v>2</v>
      </c>
      <c r="J34" s="20">
        <f>Table1[[#This Row],[REAL Stromspeicher]]/real_zu_spiel_stromspeicher</f>
        <v>0</v>
      </c>
      <c r="K34" s="21"/>
      <c r="L34" s="39"/>
      <c r="M34" s="47">
        <v>1</v>
      </c>
      <c r="N34" s="48"/>
      <c r="O34" s="25"/>
      <c r="P34" s="16"/>
      <c r="Q34" s="17"/>
      <c r="R34" s="46"/>
      <c r="S34" s="50">
        <v>10</v>
      </c>
      <c r="T34" s="20"/>
      <c r="U34" s="21"/>
      <c r="V34" s="39"/>
      <c r="W34" s="142"/>
      <c r="X34" s="43"/>
      <c r="Y34" s="43"/>
      <c r="Z34" s="43"/>
      <c r="AA34" t="str">
        <f t="shared" si="0"/>
        <v>SPSPXXZU</v>
      </c>
      <c r="AB34" t="s">
        <v>387</v>
      </c>
    </row>
    <row r="35" spans="1:28" ht="22.5" customHeight="1" x14ac:dyDescent="0.25">
      <c r="A35" s="41" t="s">
        <v>94</v>
      </c>
      <c r="B35" s="63" t="s">
        <v>41</v>
      </c>
      <c r="C35" s="14">
        <v>1</v>
      </c>
      <c r="D35" s="42"/>
      <c r="E35" s="15">
        <v>2</v>
      </c>
      <c r="F35" s="16"/>
      <c r="G35" s="17">
        <f>Table1[[#This Row],[REAL Sofort CO2]]/kgemission_per_sp</f>
        <v>0</v>
      </c>
      <c r="H35" s="130">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142"/>
      <c r="X35" s="43"/>
      <c r="Y35" s="43"/>
      <c r="Z35" s="43"/>
      <c r="AA35" t="str">
        <f t="shared" si="0"/>
        <v>WS</v>
      </c>
      <c r="AB35" t="s">
        <v>388</v>
      </c>
    </row>
    <row r="36" spans="1:28" ht="22.5" customHeight="1" x14ac:dyDescent="0.25">
      <c r="A36" s="33" t="s">
        <v>27</v>
      </c>
      <c r="B36" s="63" t="s">
        <v>28</v>
      </c>
      <c r="C36" s="14">
        <v>1</v>
      </c>
      <c r="D36" s="35"/>
      <c r="E36" s="15">
        <v>2</v>
      </c>
      <c r="F36" s="36"/>
      <c r="G36" s="37">
        <f>Table1[[#This Row],[REAL Sofort CO2]]/kgemission_per_sp</f>
        <v>30</v>
      </c>
      <c r="H36" s="130">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30</v>
      </c>
      <c r="R36" s="18">
        <v>0</v>
      </c>
      <c r="S36" s="19"/>
      <c r="T36" s="20"/>
      <c r="U36" s="38">
        <v>4</v>
      </c>
      <c r="V36" s="39"/>
      <c r="W36" s="142"/>
      <c r="X36" s="40"/>
      <c r="Y36" s="40"/>
      <c r="Z36" s="40"/>
      <c r="AA36" t="str">
        <f t="shared" si="0"/>
        <v>WSWSWSWS</v>
      </c>
      <c r="AB36" t="s">
        <v>389</v>
      </c>
    </row>
    <row r="37" spans="1:28" ht="22.5" customHeight="1" x14ac:dyDescent="0.25">
      <c r="A37" s="41" t="s">
        <v>29</v>
      </c>
      <c r="B37" s="63" t="s">
        <v>28</v>
      </c>
      <c r="C37" s="14">
        <v>1</v>
      </c>
      <c r="D37" s="42"/>
      <c r="E37" s="15">
        <v>3</v>
      </c>
      <c r="F37" s="36"/>
      <c r="G37" s="37">
        <f>Table1[[#This Row],[REAL Sofort CO2]]/kgemission_per_sp</f>
        <v>-10</v>
      </c>
      <c r="H37" s="130">
        <f>Table1[[#This Row],[REAL Strombedarf]]/real_zu_spiel_strombedarf</f>
        <v>0</v>
      </c>
      <c r="I37" s="19">
        <f>Table1[[#This Row],[REAL Stromproduktion]]/real_zu_spiel_stromproduktion</f>
        <v>0</v>
      </c>
      <c r="J37" s="20">
        <f>Table1[[#This Row],[REAL Stromspeicher]]/real_zu_spiel_stromspeicher</f>
        <v>0</v>
      </c>
      <c r="K37" s="38">
        <v>4</v>
      </c>
      <c r="L37" s="39"/>
      <c r="M37" s="23"/>
      <c r="N37" s="24"/>
      <c r="O37" s="25"/>
      <c r="P37" s="16"/>
      <c r="Q37" s="37">
        <v>-10</v>
      </c>
      <c r="R37" s="18">
        <v>0</v>
      </c>
      <c r="S37" s="19"/>
      <c r="T37" s="20"/>
      <c r="U37" s="38">
        <v>4</v>
      </c>
      <c r="V37" s="39"/>
      <c r="W37" s="142"/>
      <c r="X37" s="43"/>
      <c r="Y37" s="43"/>
      <c r="Z37" s="43"/>
      <c r="AA37" t="str">
        <f t="shared" ref="AA37:AA68" si="2">_xlfn.TEXTJOIN(
"XX",
TRUE,
IF(OR(F37="",F37=0),"",REPT(IF(F37&gt;0,"EN","EM"),ABS(F37))),
IF(OR(H37="",H37=0),"",REPT(IF(H37&gt;0,"BM","BP"),ABS(H37))),
REPT("SP",I37),
REPT("FL",J37),
REPT("WS",K37),
REPT("EF",L37),
IF(OR(M37="",M37=0),"",REPT(IF(M37&gt;0,"ZU","ZM"),ABS(M37))),
IF(D37="FW","XXFW",IF(D37="BIO","XXBI",IF(D37="ABWWP","XXWP",IF(D37="WP","XXWP",IF(D37="GG","XXGG","")))))
)</f>
        <v>WSWSWSWS</v>
      </c>
      <c r="AB37" t="s">
        <v>390</v>
      </c>
    </row>
    <row r="38" spans="1:28" ht="22.5" customHeight="1" x14ac:dyDescent="0.25">
      <c r="A38" s="55" t="s">
        <v>42</v>
      </c>
      <c r="B38" s="63" t="s">
        <v>28</v>
      </c>
      <c r="C38" s="14">
        <v>0</v>
      </c>
      <c r="D38" s="35"/>
      <c r="E38" s="15">
        <v>999</v>
      </c>
      <c r="F38" s="16"/>
      <c r="G38" s="17">
        <f>Table1[[#This Row],[REAL Sofort CO2]]/kgemission_per_sp</f>
        <v>0</v>
      </c>
      <c r="H38" s="130">
        <f>Table1[[#This Row],[REAL Strombedarf]]/real_zu_spiel_strombedarf</f>
        <v>0</v>
      </c>
      <c r="I38" s="19">
        <f>Table1[[#This Row],[REAL Stromproduktion]]/real_zu_spiel_stromproduktion</f>
        <v>0</v>
      </c>
      <c r="J38" s="20">
        <f>Table1[[#This Row],[REAL Stromspeicher]]/real_zu_spiel_stromspeicher</f>
        <v>0</v>
      </c>
      <c r="K38" s="38">
        <v>1</v>
      </c>
      <c r="L38" s="39"/>
      <c r="M38" s="23"/>
      <c r="N38" s="24"/>
      <c r="O38" s="25"/>
      <c r="P38" s="16"/>
      <c r="Q38" s="17"/>
      <c r="R38" s="18">
        <v>0</v>
      </c>
      <c r="S38" s="19"/>
      <c r="T38" s="20"/>
      <c r="U38" s="38">
        <v>1</v>
      </c>
      <c r="V38" s="39"/>
      <c r="W38" s="142"/>
      <c r="X38" s="40"/>
      <c r="Y38" s="40"/>
      <c r="Z38" s="40"/>
      <c r="AA38" t="str">
        <f t="shared" si="2"/>
        <v>WS</v>
      </c>
      <c r="AB38" t="s">
        <v>391</v>
      </c>
    </row>
    <row r="39" spans="1:28" ht="22.5" customHeight="1" x14ac:dyDescent="0.25">
      <c r="A39" s="12" t="s">
        <v>62</v>
      </c>
      <c r="B39" s="34" t="s">
        <v>28</v>
      </c>
      <c r="C39" s="14">
        <v>0</v>
      </c>
      <c r="D39" s="49"/>
      <c r="E39" s="15">
        <v>999</v>
      </c>
      <c r="F39" s="16"/>
      <c r="G39" s="17">
        <f>Table1[[#This Row],[REAL Sofort CO2]]/kgemission_per_sp</f>
        <v>0</v>
      </c>
      <c r="H39" s="130">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42"/>
      <c r="X39" s="40"/>
      <c r="Y39" s="40"/>
      <c r="Z39" s="40"/>
      <c r="AA39" t="str">
        <f t="shared" si="2"/>
        <v>WSWS</v>
      </c>
      <c r="AB39" t="s">
        <v>392</v>
      </c>
    </row>
    <row r="40" spans="1:28" ht="22.5" customHeight="1" x14ac:dyDescent="0.25">
      <c r="A40" s="44" t="s">
        <v>62</v>
      </c>
      <c r="B40" s="13" t="s">
        <v>28</v>
      </c>
      <c r="C40" s="14">
        <v>0</v>
      </c>
      <c r="D40" s="45"/>
      <c r="E40" s="15">
        <v>999</v>
      </c>
      <c r="F40" s="16"/>
      <c r="G40" s="17">
        <f>Table1[[#This Row],[REAL Sofort CO2]]/kgemission_per_sp</f>
        <v>0</v>
      </c>
      <c r="H40" s="130">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42"/>
      <c r="X40" s="43"/>
      <c r="Y40" s="43"/>
      <c r="Z40" s="43"/>
      <c r="AA40" t="str">
        <f t="shared" si="2"/>
        <v>WSWS</v>
      </c>
      <c r="AB40" t="s">
        <v>392</v>
      </c>
    </row>
    <row r="41" spans="1:28" ht="22.5" customHeight="1" x14ac:dyDescent="0.25">
      <c r="A41" s="41" t="s">
        <v>69</v>
      </c>
      <c r="B41" s="34" t="s">
        <v>28</v>
      </c>
      <c r="C41" s="14">
        <v>0</v>
      </c>
      <c r="D41" s="42"/>
      <c r="E41" s="15">
        <v>999</v>
      </c>
      <c r="F41" s="16"/>
      <c r="G41" s="17">
        <f>Table1[[#This Row],[REAL Sofort CO2]]/kgemission_per_sp</f>
        <v>0</v>
      </c>
      <c r="H41" s="130">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42"/>
      <c r="X41" s="43"/>
      <c r="Y41" s="43"/>
      <c r="Z41" s="43"/>
      <c r="AA41" t="str">
        <f t="shared" si="2"/>
        <v>WSWS</v>
      </c>
      <c r="AB41" t="s">
        <v>393</v>
      </c>
    </row>
    <row r="42" spans="1:28" ht="22.5" customHeight="1" x14ac:dyDescent="0.25">
      <c r="A42" s="33" t="s">
        <v>69</v>
      </c>
      <c r="B42" s="13" t="s">
        <v>28</v>
      </c>
      <c r="C42" s="14">
        <v>0</v>
      </c>
      <c r="D42" s="35"/>
      <c r="E42" s="15">
        <v>999</v>
      </c>
      <c r="F42" s="16"/>
      <c r="G42" s="17">
        <f>Table1[[#This Row],[REAL Sofort CO2]]/kgemission_per_sp</f>
        <v>0</v>
      </c>
      <c r="H42" s="130">
        <f>Table1[[#This Row],[REAL Strombedarf]]/real_zu_spiel_strombedarf</f>
        <v>0</v>
      </c>
      <c r="I42" s="19">
        <f>Table1[[#This Row],[REAL Stromproduktion]]/real_zu_spiel_stromproduktion</f>
        <v>0</v>
      </c>
      <c r="J42" s="20">
        <f>Table1[[#This Row],[REAL Stromspeicher]]/real_zu_spiel_stromspeicher</f>
        <v>0</v>
      </c>
      <c r="K42" s="38">
        <v>2</v>
      </c>
      <c r="L42" s="39"/>
      <c r="M42" s="23"/>
      <c r="N42" s="24"/>
      <c r="O42" s="25"/>
      <c r="P42" s="16"/>
      <c r="Q42" s="17"/>
      <c r="R42" s="18">
        <v>0</v>
      </c>
      <c r="S42" s="19"/>
      <c r="T42" s="20"/>
      <c r="U42" s="38">
        <v>2</v>
      </c>
      <c r="V42" s="39"/>
      <c r="W42" s="142"/>
      <c r="X42" s="40"/>
      <c r="Y42" s="40"/>
      <c r="Z42" s="40"/>
      <c r="AA42" t="str">
        <f t="shared" si="2"/>
        <v>WSWS</v>
      </c>
      <c r="AB42" t="s">
        <v>393</v>
      </c>
    </row>
    <row r="43" spans="1:28" ht="22.5" customHeight="1" x14ac:dyDescent="0.25">
      <c r="A43" s="112" t="s">
        <v>81</v>
      </c>
      <c r="B43" s="34" t="s">
        <v>28</v>
      </c>
      <c r="C43" s="14">
        <v>1</v>
      </c>
      <c r="D43" s="42"/>
      <c r="E43" s="15">
        <v>3</v>
      </c>
      <c r="F43" s="36"/>
      <c r="G43" s="37">
        <f>Table1[[#This Row],[REAL Sofort CO2]]/kgemission_per_sp</f>
        <v>40</v>
      </c>
      <c r="H43" s="130">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40</v>
      </c>
      <c r="R43" s="18">
        <v>0</v>
      </c>
      <c r="S43" s="19"/>
      <c r="T43" s="20"/>
      <c r="U43" s="38">
        <v>5</v>
      </c>
      <c r="V43" s="39"/>
      <c r="W43" s="142"/>
      <c r="X43" s="43"/>
      <c r="Y43" s="43"/>
      <c r="Z43" s="43"/>
      <c r="AA43" t="str">
        <f t="shared" si="2"/>
        <v>WSWSWSWSWS</v>
      </c>
      <c r="AB43" t="s">
        <v>394</v>
      </c>
    </row>
    <row r="44" spans="1:28" ht="22.5" customHeight="1" x14ac:dyDescent="0.25">
      <c r="A44" s="62" t="s">
        <v>82</v>
      </c>
      <c r="B44" s="34" t="s">
        <v>28</v>
      </c>
      <c r="C44" s="14">
        <v>1</v>
      </c>
      <c r="D44" s="35"/>
      <c r="E44" s="15">
        <v>4</v>
      </c>
      <c r="F44" s="36"/>
      <c r="G44" s="37">
        <v>-20</v>
      </c>
      <c r="H44" s="130">
        <f>Table1[[#This Row],[REAL Strombedarf]]/real_zu_spiel_strombedarf</f>
        <v>0</v>
      </c>
      <c r="I44" s="19">
        <f>Table1[[#This Row],[REAL Stromproduktion]]/real_zu_spiel_stromproduktion</f>
        <v>0</v>
      </c>
      <c r="J44" s="20">
        <f>Table1[[#This Row],[REAL Stromspeicher]]/real_zu_spiel_stromspeicher</f>
        <v>0</v>
      </c>
      <c r="K44" s="38">
        <v>5</v>
      </c>
      <c r="L44" s="39"/>
      <c r="M44" s="23"/>
      <c r="N44" s="24"/>
      <c r="O44" s="25"/>
      <c r="P44" s="16"/>
      <c r="Q44" s="37">
        <v>-10</v>
      </c>
      <c r="R44" s="18">
        <v>0</v>
      </c>
      <c r="S44" s="19"/>
      <c r="T44" s="20"/>
      <c r="U44" s="38">
        <v>5</v>
      </c>
      <c r="V44" s="39"/>
      <c r="W44" s="142"/>
      <c r="X44" s="40"/>
      <c r="Y44" s="40"/>
      <c r="Z44" s="40"/>
      <c r="AA44" t="str">
        <f t="shared" si="2"/>
        <v>WSWSWSWSWS</v>
      </c>
      <c r="AB44" t="s">
        <v>393</v>
      </c>
    </row>
    <row r="45" spans="1:28" ht="22.5" customHeight="1" x14ac:dyDescent="0.25">
      <c r="A45" s="41" t="s">
        <v>86</v>
      </c>
      <c r="B45" s="34" t="s">
        <v>28</v>
      </c>
      <c r="C45" s="14">
        <v>0</v>
      </c>
      <c r="D45" s="42"/>
      <c r="E45" s="15">
        <v>999</v>
      </c>
      <c r="F45" s="16"/>
      <c r="G45" s="17">
        <f>Table1[[#This Row],[REAL Sofort CO2]]/kgemission_per_sp</f>
        <v>0</v>
      </c>
      <c r="H45" s="130">
        <f>Table1[[#This Row],[REAL Strombedarf]]/real_zu_spiel_strombedarf</f>
        <v>0</v>
      </c>
      <c r="I45" s="19">
        <f>Table1[[#This Row],[REAL Stromproduktion]]/real_zu_spiel_stromproduktion</f>
        <v>0</v>
      </c>
      <c r="J45" s="20">
        <f>Table1[[#This Row],[REAL Stromspeicher]]/real_zu_spiel_stromspeicher</f>
        <v>0</v>
      </c>
      <c r="K45" s="21"/>
      <c r="L45" s="39"/>
      <c r="M45" s="23"/>
      <c r="N45" s="24"/>
      <c r="O45" s="25"/>
      <c r="P45" s="16"/>
      <c r="Q45" s="17"/>
      <c r="R45" s="18">
        <v>0</v>
      </c>
      <c r="S45" s="19"/>
      <c r="T45" s="20"/>
      <c r="U45" s="21"/>
      <c r="V45" s="39"/>
      <c r="W45" s="142"/>
      <c r="X45" s="43"/>
      <c r="Y45" s="43"/>
      <c r="Z45" s="43"/>
      <c r="AA45" t="str">
        <f t="shared" si="2"/>
        <v/>
      </c>
      <c r="AB45" t="s">
        <v>395</v>
      </c>
    </row>
    <row r="46" spans="1:28" ht="22.5" customHeight="1" x14ac:dyDescent="0.25">
      <c r="A46" s="68" t="s">
        <v>87</v>
      </c>
      <c r="B46" s="34" t="s">
        <v>28</v>
      </c>
      <c r="C46" s="14">
        <v>0</v>
      </c>
      <c r="D46" s="45"/>
      <c r="E46" s="15">
        <v>999</v>
      </c>
      <c r="F46" s="16"/>
      <c r="G46" s="17">
        <f>Table1[[#This Row],[REAL Sofort CO2]]/kgemission_per_sp</f>
        <v>0</v>
      </c>
      <c r="H46" s="130">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42"/>
      <c r="X46" s="43"/>
      <c r="Y46" s="43"/>
      <c r="Z46" s="43"/>
      <c r="AA46" t="str">
        <f t="shared" si="2"/>
        <v>WSWS</v>
      </c>
      <c r="AB46" t="s">
        <v>391</v>
      </c>
    </row>
    <row r="47" spans="1:28" ht="22.5" customHeight="1" x14ac:dyDescent="0.25">
      <c r="A47" s="12" t="s">
        <v>88</v>
      </c>
      <c r="B47" s="34" t="s">
        <v>28</v>
      </c>
      <c r="C47" s="14">
        <v>0</v>
      </c>
      <c r="D47" s="49"/>
      <c r="E47" s="15">
        <v>999</v>
      </c>
      <c r="F47" s="16"/>
      <c r="G47" s="17">
        <f>Table1[[#This Row],[REAL Sofort CO2]]/kgemission_per_sp</f>
        <v>0</v>
      </c>
      <c r="H47" s="130">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42"/>
      <c r="X47" s="40"/>
      <c r="Y47" s="40"/>
      <c r="Z47" s="40"/>
      <c r="AA47" t="str">
        <f t="shared" si="2"/>
        <v>WSWS</v>
      </c>
      <c r="AB47" t="s">
        <v>393</v>
      </c>
    </row>
    <row r="48" spans="1:28" ht="22.5" customHeight="1" x14ac:dyDescent="0.25">
      <c r="A48" s="112" t="s">
        <v>88</v>
      </c>
      <c r="B48" s="13" t="s">
        <v>28</v>
      </c>
      <c r="C48" s="14">
        <v>0</v>
      </c>
      <c r="D48" s="45"/>
      <c r="E48" s="15">
        <v>999</v>
      </c>
      <c r="F48" s="16"/>
      <c r="G48" s="17">
        <f>Table1[[#This Row],[REAL Sofort CO2]]/kgemission_per_sp</f>
        <v>0</v>
      </c>
      <c r="H48" s="130">
        <f>Table1[[#This Row],[REAL Strombedarf]]/real_zu_spiel_strombedarf</f>
        <v>0</v>
      </c>
      <c r="I48" s="19">
        <f>Table1[[#This Row],[REAL Stromproduktion]]/real_zu_spiel_stromproduktion</f>
        <v>0</v>
      </c>
      <c r="J48" s="20">
        <f>Table1[[#This Row],[REAL Stromspeicher]]/real_zu_spiel_stromspeicher</f>
        <v>0</v>
      </c>
      <c r="K48" s="38">
        <v>2</v>
      </c>
      <c r="L48" s="39"/>
      <c r="M48" s="23"/>
      <c r="N48" s="24"/>
      <c r="O48" s="25"/>
      <c r="P48" s="16"/>
      <c r="Q48" s="17"/>
      <c r="R48" s="18">
        <v>0</v>
      </c>
      <c r="S48" s="19"/>
      <c r="T48" s="20"/>
      <c r="U48" s="38">
        <v>2</v>
      </c>
      <c r="V48" s="39"/>
      <c r="W48" s="142"/>
      <c r="X48" s="43"/>
      <c r="Y48" s="43"/>
      <c r="Z48" s="43"/>
      <c r="AA48" t="str">
        <f t="shared" si="2"/>
        <v>WSWS</v>
      </c>
      <c r="AB48" t="s">
        <v>393</v>
      </c>
    </row>
    <row r="49" spans="1:28" ht="22.5" customHeight="1" x14ac:dyDescent="0.25">
      <c r="A49" s="41" t="s">
        <v>89</v>
      </c>
      <c r="B49" s="34" t="s">
        <v>28</v>
      </c>
      <c r="C49" s="14">
        <v>1</v>
      </c>
      <c r="D49" s="42"/>
      <c r="E49" s="15">
        <v>1</v>
      </c>
      <c r="F49" s="36"/>
      <c r="G49" s="37">
        <f>Table1[[#This Row],[REAL Sofort CO2]]/kgemission_per_sp</f>
        <v>20</v>
      </c>
      <c r="H49" s="130">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20</v>
      </c>
      <c r="R49" s="18">
        <v>0</v>
      </c>
      <c r="S49" s="19"/>
      <c r="T49" s="20"/>
      <c r="U49" s="38">
        <v>3</v>
      </c>
      <c r="V49" s="39"/>
      <c r="W49" s="142"/>
      <c r="X49" s="43"/>
      <c r="Y49" s="43"/>
      <c r="Z49" s="43"/>
      <c r="AA49" t="str">
        <f t="shared" si="2"/>
        <v>WSWSWS</v>
      </c>
      <c r="AB49" t="s">
        <v>396</v>
      </c>
    </row>
    <row r="50" spans="1:28" ht="22.5" customHeight="1" x14ac:dyDescent="0.25">
      <c r="A50" s="33" t="s">
        <v>90</v>
      </c>
      <c r="B50" s="63" t="s">
        <v>28</v>
      </c>
      <c r="C50" s="14">
        <v>1</v>
      </c>
      <c r="D50" s="35"/>
      <c r="E50" s="15">
        <v>2</v>
      </c>
      <c r="F50" s="36"/>
      <c r="G50" s="37">
        <v>5</v>
      </c>
      <c r="H50" s="130">
        <f>Table1[[#This Row],[REAL Strombedarf]]/real_zu_spiel_strombedarf</f>
        <v>0</v>
      </c>
      <c r="I50" s="19">
        <f>Table1[[#This Row],[REAL Stromproduktion]]/real_zu_spiel_stromproduktion</f>
        <v>0</v>
      </c>
      <c r="J50" s="20">
        <f>Table1[[#This Row],[REAL Stromspeicher]]/real_zu_spiel_stromspeicher</f>
        <v>0</v>
      </c>
      <c r="K50" s="38">
        <v>3</v>
      </c>
      <c r="L50" s="39"/>
      <c r="M50" s="23"/>
      <c r="N50" s="24"/>
      <c r="O50" s="25"/>
      <c r="P50" s="16"/>
      <c r="Q50" s="37">
        <v>-2</v>
      </c>
      <c r="R50" s="18">
        <v>0</v>
      </c>
      <c r="S50" s="19"/>
      <c r="T50" s="20"/>
      <c r="U50" s="38">
        <v>3</v>
      </c>
      <c r="V50" s="39"/>
      <c r="W50" s="142"/>
      <c r="X50" s="40"/>
      <c r="Y50" s="40"/>
      <c r="Z50" s="40"/>
      <c r="AA50" t="str">
        <f t="shared" si="2"/>
        <v>WSWSWS</v>
      </c>
      <c r="AB50" t="s">
        <v>397</v>
      </c>
    </row>
    <row r="51" spans="1:28" ht="22.5" customHeight="1" x14ac:dyDescent="0.25">
      <c r="A51" s="58" t="s">
        <v>95</v>
      </c>
      <c r="B51" s="63" t="s">
        <v>28</v>
      </c>
      <c r="C51" s="14">
        <v>0</v>
      </c>
      <c r="D51" s="42"/>
      <c r="E51" s="15">
        <v>999</v>
      </c>
      <c r="F51" s="16"/>
      <c r="G51" s="17">
        <f>Table1[[#This Row],[REAL Sofort CO2]]/kgemission_per_sp</f>
        <v>0</v>
      </c>
      <c r="H51" s="130">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42"/>
      <c r="X51" s="43"/>
      <c r="Y51" s="43"/>
      <c r="Z51" s="43"/>
      <c r="AA51" t="str">
        <f t="shared" si="2"/>
        <v>WS</v>
      </c>
      <c r="AB51" t="s">
        <v>398</v>
      </c>
    </row>
    <row r="52" spans="1:28" ht="22.5" customHeight="1" x14ac:dyDescent="0.25">
      <c r="A52" s="59" t="s">
        <v>96</v>
      </c>
      <c r="B52" s="63" t="s">
        <v>28</v>
      </c>
      <c r="C52" s="14">
        <v>0</v>
      </c>
      <c r="D52" s="35"/>
      <c r="E52" s="15">
        <v>999</v>
      </c>
      <c r="F52" s="16"/>
      <c r="G52" s="17">
        <f>Table1[[#This Row],[REAL Sofort CO2]]/kgemission_per_sp</f>
        <v>0</v>
      </c>
      <c r="H52" s="130">
        <f>Table1[[#This Row],[REAL Strombedarf]]/real_zu_spiel_strombedarf</f>
        <v>0</v>
      </c>
      <c r="I52" s="19">
        <f>Table1[[#This Row],[REAL Stromproduktion]]/real_zu_spiel_stromproduktion</f>
        <v>0</v>
      </c>
      <c r="J52" s="20">
        <f>Table1[[#This Row],[REAL Stromspeicher]]/real_zu_spiel_stromspeicher</f>
        <v>0</v>
      </c>
      <c r="K52" s="38">
        <v>1</v>
      </c>
      <c r="L52" s="39"/>
      <c r="M52" s="23"/>
      <c r="N52" s="24"/>
      <c r="O52" s="25"/>
      <c r="P52" s="16"/>
      <c r="Q52" s="17"/>
      <c r="R52" s="18">
        <v>0</v>
      </c>
      <c r="S52" s="19"/>
      <c r="T52" s="20"/>
      <c r="U52" s="38">
        <v>1</v>
      </c>
      <c r="V52" s="39"/>
      <c r="W52" s="142"/>
      <c r="X52" s="40"/>
      <c r="Y52" s="40"/>
      <c r="Z52" s="40"/>
      <c r="AA52" t="str">
        <f t="shared" si="2"/>
        <v>WS</v>
      </c>
      <c r="AB52" t="s">
        <v>399</v>
      </c>
    </row>
    <row r="53" spans="1:28" ht="22.5" customHeight="1" x14ac:dyDescent="0.25">
      <c r="A53" s="58" t="s">
        <v>98</v>
      </c>
      <c r="B53" s="63" t="s">
        <v>28</v>
      </c>
      <c r="C53" s="14">
        <v>0</v>
      </c>
      <c r="D53" s="49"/>
      <c r="E53" s="15">
        <v>999</v>
      </c>
      <c r="F53" s="16"/>
      <c r="G53" s="17">
        <f>Table1[[#This Row],[REAL Sofort CO2]]/kgemission_per_sp</f>
        <v>0</v>
      </c>
      <c r="H53" s="130">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42"/>
      <c r="X53" s="40"/>
      <c r="Y53" s="40"/>
      <c r="Z53" s="40"/>
      <c r="AA53" t="str">
        <f t="shared" si="2"/>
        <v>WSWS</v>
      </c>
      <c r="AB53" t="s">
        <v>391</v>
      </c>
    </row>
    <row r="54" spans="1:28" ht="22.5" customHeight="1" x14ac:dyDescent="0.25">
      <c r="A54" s="61" t="s">
        <v>100</v>
      </c>
      <c r="B54" s="63" t="s">
        <v>28</v>
      </c>
      <c r="C54" s="14">
        <v>0</v>
      </c>
      <c r="D54" s="45"/>
      <c r="E54" s="15">
        <v>999</v>
      </c>
      <c r="F54" s="16"/>
      <c r="G54" s="17">
        <f>Table1[[#This Row],[REAL Sofort CO2]]/kgemission_per_sp</f>
        <v>0</v>
      </c>
      <c r="H54" s="130">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42"/>
      <c r="X54" s="43"/>
      <c r="Y54" s="43"/>
      <c r="Z54" s="43"/>
      <c r="AA54" t="str">
        <f t="shared" si="2"/>
        <v>WSWS</v>
      </c>
      <c r="AB54" t="s">
        <v>393</v>
      </c>
    </row>
    <row r="55" spans="1:28" ht="22.5" customHeight="1" x14ac:dyDescent="0.25">
      <c r="A55" s="12" t="s">
        <v>100</v>
      </c>
      <c r="B55" s="64" t="s">
        <v>28</v>
      </c>
      <c r="C55" s="14">
        <v>0</v>
      </c>
      <c r="D55" s="49"/>
      <c r="E55" s="15">
        <v>999</v>
      </c>
      <c r="F55" s="16"/>
      <c r="G55" s="17">
        <f>Table1[[#This Row],[REAL Sofort CO2]]/kgemission_per_sp</f>
        <v>0</v>
      </c>
      <c r="H55" s="130">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c r="R55" s="18">
        <v>0</v>
      </c>
      <c r="S55" s="19"/>
      <c r="T55" s="20"/>
      <c r="U55" s="38">
        <v>2</v>
      </c>
      <c r="V55" s="39"/>
      <c r="W55" s="142"/>
      <c r="X55" s="40"/>
      <c r="Y55" s="40"/>
      <c r="Z55" s="40"/>
      <c r="AA55" t="str">
        <f t="shared" si="2"/>
        <v>WSWS</v>
      </c>
      <c r="AB55" t="s">
        <v>393</v>
      </c>
    </row>
    <row r="56" spans="1:28" ht="22.5" customHeight="1" x14ac:dyDescent="0.25">
      <c r="A56" s="44" t="s">
        <v>54</v>
      </c>
      <c r="B56" s="64" t="s">
        <v>55</v>
      </c>
      <c r="C56" s="14">
        <v>1</v>
      </c>
      <c r="D56" s="45"/>
      <c r="E56" s="15">
        <v>2</v>
      </c>
      <c r="F56" s="16"/>
      <c r="G56" s="17">
        <f>Table1[[#This Row],[REAL Sofort CO2]]/kgemission_per_sp</f>
        <v>10</v>
      </c>
      <c r="H56" s="130">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17">
        <v>10</v>
      </c>
      <c r="R56" s="18">
        <v>0</v>
      </c>
      <c r="S56" s="19"/>
      <c r="T56" s="20"/>
      <c r="U56" s="38">
        <v>1</v>
      </c>
      <c r="V56" s="39"/>
      <c r="W56" s="142"/>
      <c r="X56" s="43"/>
      <c r="Y56" s="43"/>
      <c r="Z56" s="43"/>
      <c r="AA56" t="str">
        <f t="shared" si="2"/>
        <v>WS</v>
      </c>
      <c r="AB56" t="s">
        <v>400</v>
      </c>
    </row>
    <row r="57" spans="1:28" ht="22.5" customHeight="1" x14ac:dyDescent="0.25">
      <c r="A57" s="12" t="s">
        <v>56</v>
      </c>
      <c r="B57" s="64" t="s">
        <v>55</v>
      </c>
      <c r="C57" s="14">
        <v>1</v>
      </c>
      <c r="D57" s="49"/>
      <c r="E57" s="15">
        <v>2</v>
      </c>
      <c r="F57" s="36"/>
      <c r="G57" s="37">
        <f>Table1[[#This Row],[REAL Sofort CO2]]/kgemission_per_sp</f>
        <v>20</v>
      </c>
      <c r="H57" s="130">
        <f>Table1[[#This Row],[REAL Strombedarf]]/real_zu_spiel_strombedarf</f>
        <v>0</v>
      </c>
      <c r="I57" s="19">
        <f>Table1[[#This Row],[REAL Stromproduktion]]/real_zu_spiel_stromproduktion</f>
        <v>0</v>
      </c>
      <c r="J57" s="20">
        <f>Table1[[#This Row],[REAL Stromspeicher]]/real_zu_spiel_stromspeicher</f>
        <v>0</v>
      </c>
      <c r="K57" s="38">
        <v>2</v>
      </c>
      <c r="L57" s="39"/>
      <c r="M57" s="23"/>
      <c r="N57" s="24"/>
      <c r="O57" s="25"/>
      <c r="P57" s="16"/>
      <c r="Q57" s="37">
        <v>20</v>
      </c>
      <c r="R57" s="18">
        <v>0</v>
      </c>
      <c r="S57" s="19"/>
      <c r="T57" s="20"/>
      <c r="U57" s="38">
        <v>2</v>
      </c>
      <c r="V57" s="39"/>
      <c r="W57" s="142"/>
      <c r="X57" s="40"/>
      <c r="Y57" s="40"/>
      <c r="Z57" s="40"/>
      <c r="AA57" t="str">
        <f t="shared" si="2"/>
        <v>WSWS</v>
      </c>
      <c r="AB57" t="s">
        <v>401</v>
      </c>
    </row>
    <row r="58" spans="1:28" ht="22.5" customHeight="1" x14ac:dyDescent="0.25">
      <c r="A58" s="61" t="s">
        <v>57</v>
      </c>
      <c r="B58" s="64" t="s">
        <v>55</v>
      </c>
      <c r="C58" s="14">
        <v>1</v>
      </c>
      <c r="D58" s="45"/>
      <c r="E58" s="15">
        <v>3</v>
      </c>
      <c r="F58" s="16"/>
      <c r="G58" s="17">
        <f>Table1[[#This Row],[REAL Sofort CO2]]/kgemission_per_sp</f>
        <v>10</v>
      </c>
      <c r="H58" s="130">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17">
        <v>10</v>
      </c>
      <c r="R58" s="18">
        <v>0</v>
      </c>
      <c r="S58" s="19"/>
      <c r="T58" s="20"/>
      <c r="U58" s="38">
        <v>2</v>
      </c>
      <c r="V58" s="39"/>
      <c r="W58" s="142"/>
      <c r="X58" s="43"/>
      <c r="Y58" s="43"/>
      <c r="Z58" s="43"/>
      <c r="AA58" t="str">
        <f t="shared" si="2"/>
        <v>WSWS</v>
      </c>
      <c r="AB58" t="s">
        <v>402</v>
      </c>
    </row>
    <row r="59" spans="1:28" ht="22.5" customHeight="1" x14ac:dyDescent="0.25">
      <c r="A59" s="60" t="s">
        <v>58</v>
      </c>
      <c r="B59" s="64" t="s">
        <v>55</v>
      </c>
      <c r="C59" s="14">
        <v>1</v>
      </c>
      <c r="D59" s="49"/>
      <c r="E59" s="15">
        <v>1</v>
      </c>
      <c r="F59" s="36"/>
      <c r="G59" s="37">
        <f>Table1[[#This Row],[REAL Sofort CO2]]/kgemission_per_sp</f>
        <v>30</v>
      </c>
      <c r="H59" s="130">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37">
        <v>30</v>
      </c>
      <c r="R59" s="18">
        <v>0</v>
      </c>
      <c r="S59" s="19"/>
      <c r="T59" s="20"/>
      <c r="U59" s="38">
        <v>1</v>
      </c>
      <c r="V59" s="39"/>
      <c r="W59" s="142"/>
      <c r="X59" s="40"/>
      <c r="Y59" s="40"/>
      <c r="Z59" s="40"/>
      <c r="AA59" t="str">
        <f t="shared" si="2"/>
        <v>WS</v>
      </c>
      <c r="AB59" t="s">
        <v>403</v>
      </c>
    </row>
    <row r="60" spans="1:28" ht="22.5" customHeight="1" x14ac:dyDescent="0.25">
      <c r="A60" s="44" t="s">
        <v>91</v>
      </c>
      <c r="B60" s="64" t="s">
        <v>55</v>
      </c>
      <c r="C60" s="14">
        <v>1</v>
      </c>
      <c r="D60" s="45"/>
      <c r="E60" s="15">
        <v>1</v>
      </c>
      <c r="F60" s="16"/>
      <c r="G60" s="17">
        <f>Table1[[#This Row],[REAL Sofort CO2]]/kgemission_per_sp</f>
        <v>0</v>
      </c>
      <c r="H60" s="130">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42"/>
      <c r="X60" s="43"/>
      <c r="Y60" s="43"/>
      <c r="Z60" s="43"/>
      <c r="AA60" t="str">
        <f t="shared" si="2"/>
        <v>WS</v>
      </c>
      <c r="AB60" t="s">
        <v>404</v>
      </c>
    </row>
    <row r="61" spans="1:28" ht="22.5" customHeight="1" x14ac:dyDescent="0.25">
      <c r="A61" s="12" t="s">
        <v>45</v>
      </c>
      <c r="B61" s="64" t="s">
        <v>46</v>
      </c>
      <c r="C61" s="14">
        <v>1</v>
      </c>
      <c r="D61" s="49"/>
      <c r="E61" s="15">
        <v>1</v>
      </c>
      <c r="F61" s="16"/>
      <c r="G61" s="17">
        <f>Table1[[#This Row],[REAL Sofort CO2]]/kgemission_per_sp</f>
        <v>0</v>
      </c>
      <c r="H61" s="130">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42"/>
      <c r="X61" s="40"/>
      <c r="Y61" s="40"/>
      <c r="Z61" s="40"/>
      <c r="AA61" t="str">
        <f t="shared" si="2"/>
        <v>WS</v>
      </c>
      <c r="AB61" t="s">
        <v>405</v>
      </c>
    </row>
    <row r="62" spans="1:28" ht="22.5" customHeight="1" x14ac:dyDescent="0.25">
      <c r="A62" s="59" t="s">
        <v>53</v>
      </c>
      <c r="B62" s="64" t="s">
        <v>46</v>
      </c>
      <c r="C62" s="14">
        <v>0</v>
      </c>
      <c r="D62" s="35"/>
      <c r="E62" s="15">
        <v>999</v>
      </c>
      <c r="F62" s="16"/>
      <c r="G62" s="17">
        <f>Table1[[#This Row],[REAL Sofort CO2]]/kgemission_per_sp</f>
        <v>0</v>
      </c>
      <c r="H62" s="130">
        <f>Table1[[#This Row],[REAL Strombedarf]]/real_zu_spiel_strombedarf</f>
        <v>0</v>
      </c>
      <c r="I62" s="19">
        <f>Table1[[#This Row],[REAL Stromproduktion]]/real_zu_spiel_stromproduktion</f>
        <v>0</v>
      </c>
      <c r="J62" s="20">
        <f>Table1[[#This Row],[REAL Stromspeicher]]/real_zu_spiel_stromspeicher</f>
        <v>0</v>
      </c>
      <c r="K62" s="38">
        <v>1</v>
      </c>
      <c r="L62" s="39"/>
      <c r="M62" s="23"/>
      <c r="N62" s="24"/>
      <c r="O62" s="25"/>
      <c r="P62" s="16"/>
      <c r="Q62" s="17"/>
      <c r="R62" s="18">
        <v>0</v>
      </c>
      <c r="S62" s="19"/>
      <c r="T62" s="20"/>
      <c r="U62" s="38">
        <v>1</v>
      </c>
      <c r="V62" s="39"/>
      <c r="W62" s="142"/>
      <c r="X62" s="40"/>
      <c r="Y62" s="40"/>
      <c r="Z62" s="40"/>
      <c r="AA62" t="str">
        <f t="shared" si="2"/>
        <v>WS</v>
      </c>
      <c r="AB62" t="s">
        <v>406</v>
      </c>
    </row>
    <row r="63" spans="1:28" ht="22.5" customHeight="1" x14ac:dyDescent="0.25">
      <c r="A63" s="58" t="s">
        <v>76</v>
      </c>
      <c r="B63" s="64" t="s">
        <v>46</v>
      </c>
      <c r="C63" s="14">
        <v>0</v>
      </c>
      <c r="D63" s="42"/>
      <c r="E63" s="15">
        <v>999</v>
      </c>
      <c r="F63" s="16"/>
      <c r="G63" s="17">
        <f>Table1[[#This Row],[REAL Sofort CO2]]/kgemission_per_sp</f>
        <v>0</v>
      </c>
      <c r="H63" s="130">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42"/>
      <c r="X63" s="43"/>
      <c r="Y63" s="43"/>
      <c r="Z63" s="43"/>
      <c r="AA63" t="str">
        <f t="shared" si="2"/>
        <v>WS</v>
      </c>
      <c r="AB63" t="s">
        <v>407</v>
      </c>
    </row>
    <row r="64" spans="1:28" ht="22.5" customHeight="1" x14ac:dyDescent="0.25">
      <c r="A64" s="33" t="s">
        <v>77</v>
      </c>
      <c r="B64" s="64" t="s">
        <v>46</v>
      </c>
      <c r="C64" s="14">
        <v>1</v>
      </c>
      <c r="D64" s="35"/>
      <c r="E64" s="15">
        <v>3</v>
      </c>
      <c r="F64" s="16"/>
      <c r="G64" s="17">
        <f>Table1[[#This Row],[REAL Sofort CO2]]/kgemission_per_sp</f>
        <v>10</v>
      </c>
      <c r="H64" s="130">
        <f>Table1[[#This Row],[REAL Strombedarf]]/real_zu_spiel_strombedarf</f>
        <v>1</v>
      </c>
      <c r="I64" s="19">
        <f>Table1[[#This Row],[REAL Stromproduktion]]/real_zu_spiel_stromproduktion</f>
        <v>0</v>
      </c>
      <c r="J64" s="20">
        <f>Table1[[#This Row],[REAL Stromspeicher]]/real_zu_spiel_stromspeicher</f>
        <v>0</v>
      </c>
      <c r="K64" s="38">
        <v>2</v>
      </c>
      <c r="L64" s="39"/>
      <c r="M64" s="47">
        <v>1</v>
      </c>
      <c r="N64" s="48"/>
      <c r="O64" s="25"/>
      <c r="P64" s="16"/>
      <c r="Q64" s="17">
        <v>10</v>
      </c>
      <c r="R64" s="18">
        <v>5</v>
      </c>
      <c r="S64" s="19"/>
      <c r="T64" s="20"/>
      <c r="U64" s="38">
        <v>2</v>
      </c>
      <c r="V64" s="39"/>
      <c r="W64" s="142"/>
      <c r="X64" s="40"/>
      <c r="Y64" s="40"/>
      <c r="Z64" s="40"/>
      <c r="AA64" t="str">
        <f t="shared" si="2"/>
        <v>BMXXWSWSXXZU</v>
      </c>
      <c r="AB64" t="s">
        <v>408</v>
      </c>
    </row>
    <row r="65" spans="1:28" ht="22.5" customHeight="1" x14ac:dyDescent="0.25">
      <c r="A65" s="58" t="s">
        <v>78</v>
      </c>
      <c r="B65" s="64" t="s">
        <v>46</v>
      </c>
      <c r="C65" s="14">
        <v>1</v>
      </c>
      <c r="D65" s="42"/>
      <c r="E65" s="15">
        <v>1</v>
      </c>
      <c r="F65" s="16"/>
      <c r="G65" s="17">
        <f>Table1[[#This Row],[REAL Sofort CO2]]/kgemission_per_sp</f>
        <v>0</v>
      </c>
      <c r="H65" s="130">
        <f>Table1[[#This Row],[REAL Strombedarf]]/real_zu_spiel_strombedarf</f>
        <v>0</v>
      </c>
      <c r="I65" s="19">
        <f>Table1[[#This Row],[REAL Stromproduktion]]/real_zu_spiel_stromproduktion</f>
        <v>0</v>
      </c>
      <c r="J65" s="20">
        <f>Table1[[#This Row],[REAL Stromspeicher]]/real_zu_spiel_stromspeicher</f>
        <v>0</v>
      </c>
      <c r="K65" s="38">
        <v>0</v>
      </c>
      <c r="L65" s="39"/>
      <c r="M65" s="47">
        <v>1</v>
      </c>
      <c r="N65" s="48"/>
      <c r="O65" s="25"/>
      <c r="P65" s="16"/>
      <c r="Q65" s="17"/>
      <c r="R65" s="18">
        <v>0</v>
      </c>
      <c r="S65" s="19"/>
      <c r="T65" s="20"/>
      <c r="U65" s="38">
        <v>0</v>
      </c>
      <c r="V65" s="39"/>
      <c r="W65" s="142"/>
      <c r="X65" s="43"/>
      <c r="Y65" s="43"/>
      <c r="Z65" s="43"/>
      <c r="AA65" t="str">
        <f t="shared" si="2"/>
        <v>ZU</v>
      </c>
      <c r="AB65" t="s">
        <v>409</v>
      </c>
    </row>
    <row r="66" spans="1:28" ht="22.5" customHeight="1" x14ac:dyDescent="0.25">
      <c r="A66" s="44" t="s">
        <v>101</v>
      </c>
      <c r="B66" s="64" t="s">
        <v>46</v>
      </c>
      <c r="C66" s="14">
        <v>1</v>
      </c>
      <c r="D66" s="45"/>
      <c r="E66" s="15">
        <v>2</v>
      </c>
      <c r="F66" s="16"/>
      <c r="G66" s="17">
        <f>Table1[[#This Row],[REAL Sofort CO2]]/kgemission_per_sp</f>
        <v>5</v>
      </c>
      <c r="H66" s="130">
        <f>Table1[[#This Row],[REAL Strombedarf]]/real_zu_spiel_strombedarf</f>
        <v>1</v>
      </c>
      <c r="I66" s="19">
        <f>Table1[[#This Row],[REAL Stromproduktion]]/real_zu_spiel_stromproduktion</f>
        <v>0</v>
      </c>
      <c r="J66" s="20">
        <f>Table1[[#This Row],[REAL Stromspeicher]]/real_zu_spiel_stromspeicher</f>
        <v>0</v>
      </c>
      <c r="K66" s="38">
        <v>1</v>
      </c>
      <c r="L66" s="39"/>
      <c r="M66" s="47">
        <v>1</v>
      </c>
      <c r="N66" s="48"/>
      <c r="O66" s="25"/>
      <c r="P66" s="16"/>
      <c r="Q66" s="17">
        <v>5</v>
      </c>
      <c r="R66" s="18">
        <v>5</v>
      </c>
      <c r="S66" s="19"/>
      <c r="T66" s="20"/>
      <c r="U66" s="38">
        <v>1</v>
      </c>
      <c r="V66" s="39"/>
      <c r="W66" s="142"/>
      <c r="X66" s="43"/>
      <c r="Y66" s="43"/>
      <c r="Z66" s="43"/>
      <c r="AA66" t="str">
        <f t="shared" si="2"/>
        <v>BMXXWSXXZU</v>
      </c>
      <c r="AB66" t="s">
        <v>410</v>
      </c>
    </row>
    <row r="67" spans="1:28" ht="22.5" customHeight="1" x14ac:dyDescent="0.25">
      <c r="A67" s="12" t="s">
        <v>24</v>
      </c>
      <c r="B67" s="64" t="s">
        <v>25</v>
      </c>
      <c r="C67" s="14">
        <v>1</v>
      </c>
      <c r="D67" s="14" t="s">
        <v>26</v>
      </c>
      <c r="E67" s="15">
        <v>3</v>
      </c>
      <c r="F67" s="16"/>
      <c r="G67" s="17">
        <f>Table1[[#This Row],[REAL Sofort CO2]]/kgemission_per_sp</f>
        <v>0</v>
      </c>
      <c r="H67" s="130">
        <f>Table1[[#This Row],[REAL Strombedarf]]/real_zu_spiel_strombedarf</f>
        <v>0</v>
      </c>
      <c r="I67" s="19">
        <f>Table1[[#This Row],[REAL Stromproduktion]]/real_zu_spiel_stromproduktion</f>
        <v>0</v>
      </c>
      <c r="J67" s="20">
        <f>Table1[[#This Row],[REAL Stromspeicher]]/real_zu_spiel_stromspeicher</f>
        <v>0</v>
      </c>
      <c r="K67" s="21"/>
      <c r="L67" s="22">
        <v>2</v>
      </c>
      <c r="M67" s="23"/>
      <c r="N67" s="24"/>
      <c r="O67" s="25"/>
      <c r="P67" s="16"/>
      <c r="Q67" s="17"/>
      <c r="R67" s="18">
        <v>0</v>
      </c>
      <c r="S67" s="19"/>
      <c r="T67" s="20"/>
      <c r="U67" s="21"/>
      <c r="V67" s="22">
        <v>2</v>
      </c>
      <c r="W67" s="143"/>
      <c r="X67" s="32"/>
      <c r="Y67" s="32"/>
      <c r="Z67" s="32"/>
      <c r="AA67" t="str">
        <f t="shared" si="2"/>
        <v>EFEFXXXXWP</v>
      </c>
      <c r="AB67" t="s">
        <v>411</v>
      </c>
    </row>
    <row r="68" spans="1:28" ht="22.5" customHeight="1" x14ac:dyDescent="0.25">
      <c r="A68" s="44" t="s">
        <v>38</v>
      </c>
      <c r="B68" s="64" t="s">
        <v>25</v>
      </c>
      <c r="C68" s="14">
        <v>1</v>
      </c>
      <c r="D68" s="53" t="s">
        <v>39</v>
      </c>
      <c r="E68" s="15">
        <v>1</v>
      </c>
      <c r="F68" s="16"/>
      <c r="G68" s="17">
        <f>Table1[[#This Row],[REAL Sofort CO2]]/kgemission_per_sp</f>
        <v>0</v>
      </c>
      <c r="H68" s="130">
        <f>Table1[[#This Row],[REAL Strombedarf]]/real_zu_spiel_strombedarf</f>
        <v>0</v>
      </c>
      <c r="I68" s="19">
        <f>Table1[[#This Row],[REAL Stromproduktion]]/real_zu_spiel_stromproduktion</f>
        <v>0</v>
      </c>
      <c r="J68" s="20">
        <f>Table1[[#This Row],[REAL Stromspeicher]]/real_zu_spiel_stromspeicher</f>
        <v>0</v>
      </c>
      <c r="K68" s="21"/>
      <c r="L68" s="39"/>
      <c r="M68" s="47">
        <v>-1</v>
      </c>
      <c r="N68" s="48"/>
      <c r="O68" s="25"/>
      <c r="P68" s="16"/>
      <c r="Q68" s="17"/>
      <c r="R68" s="18">
        <v>0</v>
      </c>
      <c r="S68" s="19"/>
      <c r="T68" s="20"/>
      <c r="U68" s="21"/>
      <c r="V68" s="39"/>
      <c r="W68" s="142"/>
      <c r="X68" s="54"/>
      <c r="Y68" s="54"/>
      <c r="Z68" s="54"/>
      <c r="AA68" t="str">
        <f t="shared" si="2"/>
        <v>ZMXXXXBI</v>
      </c>
      <c r="AB68" t="s">
        <v>412</v>
      </c>
    </row>
    <row r="69" spans="1:28" ht="22.5" customHeight="1" x14ac:dyDescent="0.25">
      <c r="A69" s="112" t="s">
        <v>47</v>
      </c>
      <c r="B69" s="13" t="s">
        <v>25</v>
      </c>
      <c r="C69" s="14">
        <v>1</v>
      </c>
      <c r="D69" s="56" t="s">
        <v>26</v>
      </c>
      <c r="E69" s="15">
        <v>1</v>
      </c>
      <c r="F69" s="16"/>
      <c r="G69" s="17">
        <f>Table1[[#This Row],[REAL Sofort CO2]]/kgemission_per_sp</f>
        <v>0</v>
      </c>
      <c r="H69" s="130">
        <f>Table1[[#This Row],[REAL Strombedarf]]/real_zu_spiel_strombedarf</f>
        <v>0</v>
      </c>
      <c r="I69" s="19">
        <f>Table1[[#This Row],[REAL Stromproduktion]]/real_zu_spiel_stromproduktion</f>
        <v>0</v>
      </c>
      <c r="J69" s="51">
        <f>Table1[[#This Row],[REAL Stromspeicher]]/real_zu_spiel_stromspeicher</f>
        <v>0</v>
      </c>
      <c r="K69" s="21"/>
      <c r="L69" s="22">
        <v>1</v>
      </c>
      <c r="M69" s="47">
        <v>-1</v>
      </c>
      <c r="N69" s="48"/>
      <c r="O69" s="25"/>
      <c r="P69" s="16"/>
      <c r="Q69" s="17"/>
      <c r="R69" s="18">
        <v>0</v>
      </c>
      <c r="S69" s="19"/>
      <c r="T69" s="51">
        <v>0</v>
      </c>
      <c r="U69" s="21"/>
      <c r="V69" s="22">
        <v>1</v>
      </c>
      <c r="W69" s="143"/>
      <c r="X69" s="54"/>
      <c r="Y69" s="54"/>
      <c r="Z69" s="54"/>
      <c r="AA69" t="str">
        <f t="shared" ref="AA69:AA75" si="3">_xlfn.TEXTJOIN(
"XX",
TRUE,
IF(OR(F69="",F69=0),"",REPT(IF(F69&gt;0,"EN","EM"),ABS(F69))),
IF(OR(H69="",H69=0),"",REPT(IF(H69&gt;0,"BM","BP"),ABS(H69))),
REPT("SP",I69),
REPT("FL",J69),
REPT("WS",K69),
REPT("EF",L69),
IF(OR(M69="",M69=0),"",REPT(IF(M69&gt;0,"ZU","ZM"),ABS(M69))),
IF(D69="FW","XXFW",IF(D69="BIO","XXBI",IF(D69="ABWWP","XXWP",IF(D69="WP","XXWP",IF(D69="GG","XXGG","")))))
)</f>
        <v>EFXXZMXXXXWP</v>
      </c>
      <c r="AB69" t="s">
        <v>413</v>
      </c>
    </row>
    <row r="70" spans="1:28" ht="22.5" customHeight="1" x14ac:dyDescent="0.25">
      <c r="A70" s="44" t="s">
        <v>50</v>
      </c>
      <c r="B70" s="13" t="s">
        <v>25</v>
      </c>
      <c r="C70" s="14">
        <v>1</v>
      </c>
      <c r="D70" s="53" t="s">
        <v>26</v>
      </c>
      <c r="E70" s="15">
        <v>2</v>
      </c>
      <c r="F70" s="36"/>
      <c r="G70" s="37">
        <f>Table1[[#This Row],[REAL Sofort CO2]]/kgemission_per_sp</f>
        <v>10</v>
      </c>
      <c r="H70" s="130">
        <f>Table1[[#This Row],[REAL Strombedarf]]/real_zu_spiel_strombedarf</f>
        <v>0</v>
      </c>
      <c r="I70" s="19">
        <f>Table1[[#This Row],[REAL Stromproduktion]]/real_zu_spiel_stromproduktion</f>
        <v>0</v>
      </c>
      <c r="J70" s="51">
        <f>Table1[[#This Row],[REAL Stromspeicher]]/real_zu_spiel_stromspeicher</f>
        <v>0</v>
      </c>
      <c r="K70" s="21"/>
      <c r="L70" s="22">
        <v>2</v>
      </c>
      <c r="M70" s="23"/>
      <c r="N70" s="24"/>
      <c r="O70" s="25"/>
      <c r="P70" s="16"/>
      <c r="Q70" s="37">
        <v>10</v>
      </c>
      <c r="R70" s="18">
        <v>0</v>
      </c>
      <c r="S70" s="19"/>
      <c r="T70" s="51">
        <v>0</v>
      </c>
      <c r="U70" s="21"/>
      <c r="V70" s="22">
        <v>2</v>
      </c>
      <c r="W70" s="143"/>
      <c r="X70" s="54"/>
      <c r="Y70" s="54"/>
      <c r="Z70" s="54"/>
      <c r="AA70" t="str">
        <f t="shared" si="3"/>
        <v>EFEFXXXXWP</v>
      </c>
      <c r="AB70" t="s">
        <v>414</v>
      </c>
    </row>
    <row r="71" spans="1:28" ht="22.5" customHeight="1" x14ac:dyDescent="0.25">
      <c r="A71" s="12" t="s">
        <v>59</v>
      </c>
      <c r="B71" s="13" t="s">
        <v>25</v>
      </c>
      <c r="C71" s="14">
        <v>1</v>
      </c>
      <c r="D71" s="14" t="s">
        <v>60</v>
      </c>
      <c r="E71" s="15">
        <v>1</v>
      </c>
      <c r="F71" s="16"/>
      <c r="G71" s="17">
        <f>Table1[[#This Row],[REAL Sofort CO2]]/kgemission_per_sp</f>
        <v>0</v>
      </c>
      <c r="H71" s="130">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142"/>
      <c r="X71" s="32"/>
      <c r="Y71" s="32"/>
      <c r="Z71" s="32"/>
      <c r="AA71" t="str">
        <f t="shared" si="3"/>
        <v>XXFW</v>
      </c>
      <c r="AB71" t="s">
        <v>415</v>
      </c>
    </row>
    <row r="72" spans="1:28" ht="22.5" customHeight="1" x14ac:dyDescent="0.25">
      <c r="A72" s="33" t="s">
        <v>66</v>
      </c>
      <c r="B72" s="13" t="s">
        <v>25</v>
      </c>
      <c r="C72" s="14">
        <v>1</v>
      </c>
      <c r="D72" s="65" t="s">
        <v>26</v>
      </c>
      <c r="E72" s="15">
        <v>2</v>
      </c>
      <c r="F72" s="16"/>
      <c r="G72" s="17">
        <f>Table1[[#This Row],[REAL Sofort CO2]]/kgemission_per_sp</f>
        <v>0</v>
      </c>
      <c r="H72" s="130">
        <f>Table1[[#This Row],[REAL Strombedarf]]/real_zu_spiel_strombedarf</f>
        <v>0</v>
      </c>
      <c r="I72" s="19">
        <f>Table1[[#This Row],[REAL Stromproduktion]]/real_zu_spiel_stromproduktion</f>
        <v>0</v>
      </c>
      <c r="J72" s="51">
        <f>Table1[[#This Row],[REAL Stromspeicher]]/real_zu_spiel_stromspeicher</f>
        <v>0</v>
      </c>
      <c r="K72" s="21"/>
      <c r="L72" s="22">
        <v>2</v>
      </c>
      <c r="M72" s="23"/>
      <c r="N72" s="24"/>
      <c r="O72" s="25"/>
      <c r="P72" s="16"/>
      <c r="Q72" s="17"/>
      <c r="R72" s="18">
        <v>0</v>
      </c>
      <c r="S72" s="19"/>
      <c r="T72" s="51">
        <v>0</v>
      </c>
      <c r="U72" s="21"/>
      <c r="V72" s="22">
        <v>2</v>
      </c>
      <c r="W72" s="143"/>
      <c r="X72" s="32"/>
      <c r="Y72" s="32"/>
      <c r="Z72" s="32"/>
      <c r="AA72" t="str">
        <f t="shared" si="3"/>
        <v>EFEFXXXXWP</v>
      </c>
      <c r="AB72" t="s">
        <v>416</v>
      </c>
    </row>
    <row r="73" spans="1:28" ht="22.5" customHeight="1" x14ac:dyDescent="0.25">
      <c r="A73" s="12" t="s">
        <v>67</v>
      </c>
      <c r="B73" s="13" t="s">
        <v>25</v>
      </c>
      <c r="C73" s="14">
        <v>1</v>
      </c>
      <c r="D73" s="14" t="s">
        <v>68</v>
      </c>
      <c r="E73" s="66">
        <v>2</v>
      </c>
      <c r="F73" s="16"/>
      <c r="G73" s="17">
        <f>Table1[[#This Row],[REAL Sofort CO2]]/kgemission_per_sp</f>
        <v>0</v>
      </c>
      <c r="H73" s="130">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42"/>
      <c r="X73" s="32"/>
      <c r="Y73" s="32"/>
      <c r="Z73" s="32"/>
      <c r="AA73" t="str">
        <f t="shared" si="3"/>
        <v>XXGG</v>
      </c>
      <c r="AB73" t="s">
        <v>417</v>
      </c>
    </row>
    <row r="74" spans="1:28" ht="22.5" customHeight="1" x14ac:dyDescent="0.25">
      <c r="A74" s="44" t="s">
        <v>70</v>
      </c>
      <c r="B74" s="13" t="s">
        <v>25</v>
      </c>
      <c r="C74" s="14">
        <v>0</v>
      </c>
      <c r="D74" s="45"/>
      <c r="E74" s="15">
        <v>999</v>
      </c>
      <c r="F74" s="16"/>
      <c r="G74" s="17">
        <f>Table1[[#This Row],[REAL Sofort CO2]]/kgemission_per_sp</f>
        <v>0</v>
      </c>
      <c r="H74" s="130">
        <f>Table1[[#This Row],[REAL Strombedarf]]/real_zu_spiel_strombedarf</f>
        <v>0</v>
      </c>
      <c r="I74" s="19">
        <f>Table1[[#This Row],[REAL Stromproduktion]]/real_zu_spiel_stromproduktion</f>
        <v>0</v>
      </c>
      <c r="J74" s="20">
        <f>Table1[[#This Row],[REAL Stromspeicher]]/real_zu_spiel_stromspeicher</f>
        <v>0</v>
      </c>
      <c r="K74" s="21"/>
      <c r="L74" s="39"/>
      <c r="M74" s="23"/>
      <c r="N74" s="24"/>
      <c r="O74" s="25"/>
      <c r="P74" s="16"/>
      <c r="Q74" s="17"/>
      <c r="R74" s="18">
        <v>0</v>
      </c>
      <c r="S74" s="19"/>
      <c r="T74" s="20"/>
      <c r="U74" s="21"/>
      <c r="V74" s="39"/>
      <c r="W74" s="142"/>
      <c r="X74" s="43"/>
      <c r="Y74" s="43"/>
      <c r="Z74" s="43"/>
      <c r="AA74" t="str">
        <f t="shared" si="3"/>
        <v/>
      </c>
      <c r="AB74" t="s">
        <v>418</v>
      </c>
    </row>
    <row r="75" spans="1:28" ht="22.5" customHeight="1" x14ac:dyDescent="0.25">
      <c r="A75" s="69" t="s">
        <v>102</v>
      </c>
      <c r="B75" s="13" t="s">
        <v>25</v>
      </c>
      <c r="C75" s="14">
        <v>1</v>
      </c>
      <c r="D75" s="70" t="s">
        <v>26</v>
      </c>
      <c r="E75" s="71">
        <v>2</v>
      </c>
      <c r="F75" s="72"/>
      <c r="G75" s="73">
        <f>Table1[[#This Row],[REAL Sofort CO2]]/kgemission_per_sp</f>
        <v>0</v>
      </c>
      <c r="H75" s="131">
        <f>Table1[[#This Row],[REAL Strombedarf]]/real_zu_spiel_strombedarf</f>
        <v>0</v>
      </c>
      <c r="I75" s="75">
        <f>Table1[[#This Row],[REAL Stromproduktion]]/real_zu_spiel_stromproduktion</f>
        <v>0</v>
      </c>
      <c r="J75" s="76">
        <f>Table1[[#This Row],[REAL Stromspeicher]]/real_zu_spiel_stromspeicher</f>
        <v>0</v>
      </c>
      <c r="K75" s="77"/>
      <c r="L75" s="78">
        <v>1</v>
      </c>
      <c r="M75" s="79"/>
      <c r="N75" s="24"/>
      <c r="O75" s="25"/>
      <c r="P75" s="16"/>
      <c r="Q75" s="73"/>
      <c r="R75" s="74">
        <v>0</v>
      </c>
      <c r="S75" s="75"/>
      <c r="T75" s="76">
        <v>0</v>
      </c>
      <c r="U75" s="77"/>
      <c r="V75" s="78">
        <v>1</v>
      </c>
      <c r="W75" s="143"/>
      <c r="X75" s="54"/>
      <c r="Y75" s="54"/>
      <c r="Z75" s="54"/>
      <c r="AA75" t="str">
        <f t="shared" si="3"/>
        <v>EFXXXXWP</v>
      </c>
      <c r="AB75" t="s">
        <v>419</v>
      </c>
    </row>
    <row r="76" spans="1:28" ht="22.5" customHeight="1" x14ac:dyDescent="0.25">
      <c r="A76" s="32"/>
      <c r="B76" s="80"/>
      <c r="C76" s="40"/>
      <c r="D76" s="40"/>
      <c r="E76" s="81"/>
      <c r="F76" s="17"/>
      <c r="G76" s="17"/>
      <c r="H76" s="132"/>
      <c r="I76" s="82"/>
      <c r="J76" s="83"/>
      <c r="K76" s="84"/>
      <c r="L76" s="85"/>
      <c r="M76" s="48"/>
      <c r="N76" s="48"/>
      <c r="O76" s="25"/>
      <c r="P76" s="16"/>
      <c r="Q76" s="26"/>
      <c r="R76" s="27"/>
      <c r="S76" s="28"/>
      <c r="T76" s="29"/>
      <c r="U76" s="30"/>
      <c r="V76" s="31"/>
      <c r="W76" s="31"/>
      <c r="X76" s="32"/>
      <c r="Y76" s="32"/>
      <c r="Z76" s="32"/>
    </row>
    <row r="77" spans="1:28" ht="22.5" customHeight="1" x14ac:dyDescent="0.25">
      <c r="A77" s="32"/>
      <c r="B77" s="80"/>
      <c r="C77" s="40"/>
      <c r="D77" s="40"/>
      <c r="E77" s="81"/>
      <c r="F77" s="17"/>
      <c r="G77" s="17"/>
      <c r="H77" s="132"/>
      <c r="I77" s="82"/>
      <c r="J77" s="83"/>
      <c r="K77" s="84"/>
      <c r="L77" s="85"/>
      <c r="M77" s="48"/>
      <c r="N77" s="48"/>
      <c r="O77" s="25"/>
      <c r="P77" s="16"/>
      <c r="Q77" s="26"/>
      <c r="R77" s="27"/>
      <c r="S77" s="28"/>
      <c r="T77" s="29"/>
      <c r="U77" s="30"/>
      <c r="V77" s="31"/>
      <c r="W77" s="31"/>
      <c r="X77" s="32"/>
      <c r="Y77" s="32"/>
      <c r="Z77" s="32"/>
    </row>
    <row r="78" spans="1:28" ht="22.5" customHeight="1" x14ac:dyDescent="0.25">
      <c r="A78" s="32"/>
      <c r="B78" s="80"/>
      <c r="C78" s="40"/>
      <c r="D78" s="40"/>
      <c r="E78" s="81"/>
      <c r="F78" s="17"/>
      <c r="G78" s="17"/>
      <c r="H78" s="132"/>
      <c r="I78" s="82"/>
      <c r="J78" s="83"/>
      <c r="K78" s="84"/>
      <c r="L78" s="85"/>
      <c r="M78" s="48"/>
      <c r="N78" s="48"/>
      <c r="O78" s="25"/>
      <c r="P78" s="16"/>
      <c r="Q78" s="26"/>
      <c r="R78" s="27"/>
      <c r="S78" s="28"/>
      <c r="T78" s="29"/>
      <c r="U78" s="30"/>
      <c r="V78" s="31"/>
      <c r="W78" s="31"/>
      <c r="X78" s="32"/>
      <c r="Y78" s="32"/>
      <c r="Z78" s="32"/>
    </row>
    <row r="79" spans="1:28" ht="22.5" customHeight="1" x14ac:dyDescent="0.25">
      <c r="A79" s="32"/>
      <c r="B79" s="80"/>
      <c r="C79" s="40"/>
      <c r="D79" s="40"/>
      <c r="E79" s="81"/>
      <c r="F79" s="17"/>
      <c r="G79" s="17"/>
      <c r="H79" s="132"/>
      <c r="I79" s="82"/>
      <c r="J79" s="83"/>
      <c r="K79" s="84"/>
      <c r="L79" s="85"/>
      <c r="M79" s="48"/>
      <c r="N79" s="48"/>
      <c r="O79" s="25"/>
      <c r="P79" s="16"/>
      <c r="Q79" s="26"/>
      <c r="R79" s="27"/>
      <c r="S79" s="28"/>
      <c r="T79" s="29"/>
      <c r="U79" s="30"/>
      <c r="V79" s="31"/>
      <c r="W79" s="31"/>
      <c r="X79" s="32"/>
      <c r="Y79" s="32"/>
      <c r="Z79" s="32"/>
    </row>
    <row r="80" spans="1:28" ht="22.5" customHeight="1" x14ac:dyDescent="0.25">
      <c r="A80" s="32"/>
      <c r="B80" s="80"/>
      <c r="C80" s="40"/>
      <c r="D80" s="40"/>
      <c r="E80" s="81"/>
      <c r="F80" s="17"/>
      <c r="G80" s="17"/>
      <c r="H80" s="132"/>
      <c r="I80" s="82"/>
      <c r="J80" s="83"/>
      <c r="K80" s="84"/>
      <c r="L80" s="85"/>
      <c r="M80" s="48"/>
      <c r="N80" s="48"/>
      <c r="O80" s="25"/>
      <c r="P80" s="16"/>
      <c r="Q80" s="26"/>
      <c r="R80" s="27"/>
      <c r="S80" s="28"/>
      <c r="T80" s="29"/>
      <c r="U80" s="30"/>
      <c r="V80" s="31"/>
      <c r="W80" s="31"/>
      <c r="X80" s="32"/>
      <c r="Y80" s="32"/>
      <c r="Z80" s="32"/>
    </row>
    <row r="81" spans="1:26" ht="22.5" customHeight="1" x14ac:dyDescent="0.25">
      <c r="A81" s="32"/>
      <c r="B81" s="80"/>
      <c r="C81" s="40"/>
      <c r="D81" s="40"/>
      <c r="E81" s="81"/>
      <c r="F81" s="17"/>
      <c r="G81" s="17"/>
      <c r="H81" s="132"/>
      <c r="I81" s="82"/>
      <c r="J81" s="83"/>
      <c r="K81" s="84"/>
      <c r="L81" s="85"/>
      <c r="M81" s="48"/>
      <c r="N81" s="48"/>
      <c r="O81" s="25"/>
      <c r="P81" s="16"/>
      <c r="Q81" s="26"/>
      <c r="R81" s="27"/>
      <c r="S81" s="28"/>
      <c r="T81" s="29"/>
      <c r="U81" s="30"/>
      <c r="V81" s="31"/>
      <c r="W81" s="31"/>
      <c r="X81" s="32"/>
      <c r="Y81" s="32"/>
      <c r="Z81" s="32"/>
    </row>
    <row r="82" spans="1:26" ht="22.5" customHeight="1" x14ac:dyDescent="0.25">
      <c r="A82" s="32"/>
      <c r="B82" s="80"/>
      <c r="C82" s="40"/>
      <c r="D82" s="40"/>
      <c r="E82" s="81"/>
      <c r="F82" s="17"/>
      <c r="G82" s="17"/>
      <c r="H82" s="132"/>
      <c r="I82" s="82"/>
      <c r="J82" s="83"/>
      <c r="K82" s="84"/>
      <c r="L82" s="85"/>
      <c r="M82" s="48"/>
      <c r="N82" s="48"/>
      <c r="O82" s="25"/>
      <c r="P82" s="16"/>
      <c r="Q82" s="26"/>
      <c r="R82" s="27"/>
      <c r="S82" s="28"/>
      <c r="T82" s="29"/>
      <c r="U82" s="30"/>
      <c r="V82" s="31"/>
      <c r="W82" s="31"/>
      <c r="X82" s="32"/>
      <c r="Y82" s="32"/>
      <c r="Z82" s="32"/>
    </row>
    <row r="83" spans="1:26" ht="22.5" customHeight="1" x14ac:dyDescent="0.25">
      <c r="A83" s="32"/>
      <c r="B83" s="80"/>
      <c r="C83" s="40"/>
      <c r="D83" s="40"/>
      <c r="E83" s="81"/>
      <c r="F83" s="17"/>
      <c r="G83" s="17"/>
      <c r="H83" s="132"/>
      <c r="I83" s="82"/>
      <c r="J83" s="83"/>
      <c r="K83" s="84"/>
      <c r="L83" s="85"/>
      <c r="M83" s="48"/>
      <c r="N83" s="48"/>
      <c r="O83" s="25"/>
      <c r="P83" s="16"/>
      <c r="Q83" s="26"/>
      <c r="R83" s="27"/>
      <c r="S83" s="28"/>
      <c r="T83" s="29"/>
      <c r="U83" s="30"/>
      <c r="V83" s="31"/>
      <c r="W83" s="31"/>
      <c r="X83" s="32"/>
      <c r="Y83" s="32"/>
      <c r="Z83" s="32"/>
    </row>
    <row r="84" spans="1:26" ht="22.5" customHeight="1" x14ac:dyDescent="0.25">
      <c r="A84" s="32"/>
      <c r="B84" s="80"/>
      <c r="C84" s="40"/>
      <c r="D84" s="40"/>
      <c r="E84" s="81"/>
      <c r="F84" s="17"/>
      <c r="G84" s="17"/>
      <c r="H84" s="132"/>
      <c r="I84" s="82"/>
      <c r="J84" s="83"/>
      <c r="K84" s="84"/>
      <c r="L84" s="85"/>
      <c r="M84" s="48"/>
      <c r="N84" s="48"/>
      <c r="O84" s="25"/>
      <c r="P84" s="16"/>
      <c r="Q84" s="26"/>
      <c r="R84" s="27"/>
      <c r="S84" s="28"/>
      <c r="T84" s="29"/>
      <c r="U84" s="30"/>
      <c r="V84" s="31"/>
      <c r="W84" s="31"/>
      <c r="X84" s="32"/>
      <c r="Y84" s="32"/>
      <c r="Z84" s="32"/>
    </row>
    <row r="85" spans="1:26" ht="22.5" customHeight="1" x14ac:dyDescent="0.25">
      <c r="A85" s="32"/>
      <c r="B85" s="80"/>
      <c r="C85" s="40"/>
      <c r="D85" s="40"/>
      <c r="E85" s="81"/>
      <c r="F85" s="17"/>
      <c r="G85" s="17"/>
      <c r="H85" s="132"/>
      <c r="I85" s="82"/>
      <c r="J85" s="83"/>
      <c r="K85" s="84"/>
      <c r="L85" s="85"/>
      <c r="M85" s="48"/>
      <c r="N85" s="48"/>
      <c r="O85" s="25"/>
      <c r="P85" s="16"/>
      <c r="Q85" s="26"/>
      <c r="R85" s="27"/>
      <c r="S85" s="28"/>
      <c r="T85" s="29"/>
      <c r="U85" s="30"/>
      <c r="V85" s="31"/>
      <c r="W85" s="31"/>
      <c r="X85" s="32"/>
      <c r="Y85" s="32"/>
      <c r="Z85" s="32"/>
    </row>
    <row r="86" spans="1:26" ht="22.5" customHeight="1" x14ac:dyDescent="0.25">
      <c r="A86" s="32"/>
      <c r="B86" s="80"/>
      <c r="C86" s="40"/>
      <c r="D86" s="40"/>
      <c r="E86" s="81"/>
      <c r="F86" s="17"/>
      <c r="G86" s="17"/>
      <c r="H86" s="132"/>
      <c r="I86" s="82"/>
      <c r="J86" s="83"/>
      <c r="K86" s="84"/>
      <c r="L86" s="85"/>
      <c r="M86" s="48"/>
      <c r="N86" s="48"/>
      <c r="O86" s="25"/>
      <c r="P86" s="16"/>
      <c r="Q86" s="26"/>
      <c r="R86" s="27"/>
      <c r="S86" s="28"/>
      <c r="T86" s="29"/>
      <c r="U86" s="30"/>
      <c r="V86" s="31"/>
      <c r="W86" s="31"/>
      <c r="X86" s="32"/>
      <c r="Y86" s="32"/>
      <c r="Z86" s="32"/>
    </row>
    <row r="87" spans="1:26" ht="22.5" customHeight="1" x14ac:dyDescent="0.25">
      <c r="A87" s="32"/>
      <c r="B87" s="80"/>
      <c r="C87" s="40"/>
      <c r="D87" s="40"/>
      <c r="E87" s="81"/>
      <c r="F87" s="17"/>
      <c r="G87" s="17"/>
      <c r="H87" s="132"/>
      <c r="I87" s="82"/>
      <c r="J87" s="83"/>
      <c r="K87" s="84"/>
      <c r="L87" s="85"/>
      <c r="M87" s="48"/>
      <c r="N87" s="48"/>
      <c r="O87" s="25"/>
      <c r="P87" s="16"/>
      <c r="Q87" s="26"/>
      <c r="R87" s="27"/>
      <c r="S87" s="28"/>
      <c r="T87" s="29"/>
      <c r="U87" s="30"/>
      <c r="V87" s="31"/>
      <c r="W87" s="31"/>
      <c r="X87" s="32"/>
      <c r="Y87" s="32"/>
      <c r="Z87" s="32"/>
    </row>
    <row r="88" spans="1:26" ht="22.5" customHeight="1" x14ac:dyDescent="0.25">
      <c r="A88" s="32"/>
      <c r="B88" s="80"/>
      <c r="C88" s="40"/>
      <c r="D88" s="40"/>
      <c r="E88" s="81"/>
      <c r="F88" s="17"/>
      <c r="G88" s="17"/>
      <c r="H88" s="132"/>
      <c r="I88" s="82"/>
      <c r="J88" s="83"/>
      <c r="K88" s="84"/>
      <c r="L88" s="85"/>
      <c r="M88" s="48"/>
      <c r="N88" s="48"/>
      <c r="O88" s="25"/>
      <c r="P88" s="16"/>
      <c r="Q88" s="26"/>
      <c r="R88" s="27"/>
      <c r="S88" s="28"/>
      <c r="T88" s="29"/>
      <c r="U88" s="30"/>
      <c r="V88" s="31"/>
      <c r="W88" s="31"/>
      <c r="X88" s="32"/>
      <c r="Y88" s="32"/>
      <c r="Z88" s="32"/>
    </row>
    <row r="89" spans="1:26" ht="22.5" customHeight="1" x14ac:dyDescent="0.25">
      <c r="A89" s="32"/>
      <c r="B89" s="80"/>
      <c r="C89" s="40"/>
      <c r="D89" s="40"/>
      <c r="E89" s="81"/>
      <c r="F89" s="17"/>
      <c r="G89" s="17"/>
      <c r="H89" s="132"/>
      <c r="I89" s="82"/>
      <c r="J89" s="83"/>
      <c r="K89" s="84"/>
      <c r="L89" s="85"/>
      <c r="M89" s="48"/>
      <c r="N89" s="48"/>
      <c r="O89" s="25"/>
      <c r="P89" s="16"/>
      <c r="Q89" s="26"/>
      <c r="R89" s="27"/>
      <c r="S89" s="28"/>
      <c r="T89" s="29"/>
      <c r="U89" s="30"/>
      <c r="V89" s="31"/>
      <c r="W89" s="31"/>
      <c r="X89" s="32"/>
      <c r="Y89" s="32"/>
      <c r="Z89" s="32"/>
    </row>
    <row r="90" spans="1:26" ht="22.5" customHeight="1" x14ac:dyDescent="0.25">
      <c r="A90" s="32"/>
      <c r="B90" s="80"/>
      <c r="C90" s="40"/>
      <c r="D90" s="40"/>
      <c r="E90" s="81"/>
      <c r="F90" s="17"/>
      <c r="G90" s="17"/>
      <c r="H90" s="132"/>
      <c r="I90" s="82"/>
      <c r="J90" s="83"/>
      <c r="K90" s="84"/>
      <c r="L90" s="85"/>
      <c r="M90" s="48"/>
      <c r="N90" s="48"/>
      <c r="O90" s="25"/>
      <c r="P90" s="16"/>
      <c r="Q90" s="26"/>
      <c r="R90" s="27"/>
      <c r="S90" s="28"/>
      <c r="T90" s="29"/>
      <c r="U90" s="30"/>
      <c r="V90" s="31"/>
      <c r="W90" s="31"/>
      <c r="X90" s="32"/>
      <c r="Y90" s="32"/>
      <c r="Z90" s="32"/>
    </row>
    <row r="91" spans="1:26" ht="22.5" customHeight="1" x14ac:dyDescent="0.25">
      <c r="A91" s="32"/>
      <c r="B91" s="80"/>
      <c r="C91" s="40"/>
      <c r="D91" s="40"/>
      <c r="E91" s="81"/>
      <c r="F91" s="17"/>
      <c r="G91" s="17"/>
      <c r="H91" s="132"/>
      <c r="I91" s="82"/>
      <c r="J91" s="83"/>
      <c r="K91" s="84"/>
      <c r="L91" s="85"/>
      <c r="M91" s="48"/>
      <c r="N91" s="48"/>
      <c r="O91" s="25"/>
      <c r="P91" s="16"/>
      <c r="Q91" s="26"/>
      <c r="R91" s="27"/>
      <c r="S91" s="28"/>
      <c r="T91" s="29"/>
      <c r="U91" s="30"/>
      <c r="V91" s="31"/>
      <c r="W91" s="31"/>
      <c r="X91" s="32"/>
      <c r="Y91" s="32"/>
      <c r="Z91" s="32"/>
    </row>
    <row r="92" spans="1:26" ht="22.5" customHeight="1" x14ac:dyDescent="0.25">
      <c r="A92" s="32"/>
      <c r="B92" s="80"/>
      <c r="C92" s="40"/>
      <c r="D92" s="40"/>
      <c r="E92" s="81"/>
      <c r="F92" s="17"/>
      <c r="G92" s="17"/>
      <c r="H92" s="132"/>
      <c r="I92" s="82"/>
      <c r="J92" s="83"/>
      <c r="K92" s="84"/>
      <c r="L92" s="85"/>
      <c r="M92" s="48"/>
      <c r="N92" s="48"/>
      <c r="O92" s="25"/>
      <c r="P92" s="16"/>
      <c r="Q92" s="26"/>
      <c r="R92" s="27"/>
      <c r="S92" s="28"/>
      <c r="T92" s="29"/>
      <c r="U92" s="30"/>
      <c r="V92" s="31"/>
      <c r="W92" s="31"/>
      <c r="X92" s="32"/>
      <c r="Y92" s="32"/>
      <c r="Z92" s="32"/>
    </row>
    <row r="93" spans="1:26" ht="22.5" customHeight="1" x14ac:dyDescent="0.25">
      <c r="A93" s="32"/>
      <c r="B93" s="80"/>
      <c r="C93" s="40"/>
      <c r="D93" s="40"/>
      <c r="E93" s="81"/>
      <c r="F93" s="17"/>
      <c r="G93" s="17"/>
      <c r="H93" s="132"/>
      <c r="I93" s="82"/>
      <c r="J93" s="83"/>
      <c r="K93" s="84"/>
      <c r="L93" s="85"/>
      <c r="M93" s="48"/>
      <c r="N93" s="48"/>
      <c r="O93" s="25"/>
      <c r="P93" s="16"/>
      <c r="Q93" s="26"/>
      <c r="R93" s="27"/>
      <c r="S93" s="28"/>
      <c r="T93" s="29"/>
      <c r="U93" s="30"/>
      <c r="V93" s="31"/>
      <c r="W93" s="31"/>
      <c r="X93" s="32"/>
      <c r="Y93" s="32"/>
      <c r="Z93" s="32"/>
    </row>
    <row r="94" spans="1:26" ht="22.5" customHeight="1" x14ac:dyDescent="0.25">
      <c r="A94" s="32"/>
      <c r="B94" s="80"/>
      <c r="C94" s="40"/>
      <c r="D94" s="40"/>
      <c r="E94" s="81"/>
      <c r="F94" s="17"/>
      <c r="G94" s="17"/>
      <c r="H94" s="132"/>
      <c r="I94" s="82"/>
      <c r="J94" s="83"/>
      <c r="K94" s="84"/>
      <c r="L94" s="85"/>
      <c r="M94" s="48"/>
      <c r="N94" s="48"/>
      <c r="O94" s="25"/>
      <c r="P94" s="16"/>
      <c r="Q94" s="26"/>
      <c r="R94" s="27"/>
      <c r="S94" s="28"/>
      <c r="T94" s="29"/>
      <c r="U94" s="30"/>
      <c r="V94" s="31"/>
      <c r="W94" s="31"/>
      <c r="X94" s="32"/>
      <c r="Y94" s="32"/>
      <c r="Z94" s="32"/>
    </row>
    <row r="95" spans="1:26" ht="22.5" customHeight="1" x14ac:dyDescent="0.25">
      <c r="A95" s="32"/>
      <c r="B95" s="80"/>
      <c r="C95" s="40"/>
      <c r="D95" s="40"/>
      <c r="E95" s="81"/>
      <c r="F95" s="17"/>
      <c r="G95" s="17"/>
      <c r="H95" s="132"/>
      <c r="I95" s="82"/>
      <c r="J95" s="83"/>
      <c r="K95" s="84"/>
      <c r="L95" s="85"/>
      <c r="M95" s="48"/>
      <c r="N95" s="48"/>
      <c r="O95" s="25"/>
      <c r="P95" s="16"/>
      <c r="Q95" s="26"/>
      <c r="R95" s="27"/>
      <c r="S95" s="28"/>
      <c r="T95" s="29"/>
      <c r="U95" s="30"/>
      <c r="V95" s="31"/>
      <c r="W95" s="31"/>
      <c r="X95" s="32"/>
      <c r="Y95" s="32"/>
      <c r="Z95" s="32"/>
    </row>
    <row r="96" spans="1:26" ht="22.5" customHeight="1" x14ac:dyDescent="0.25">
      <c r="A96" s="32"/>
      <c r="B96" s="80"/>
      <c r="C96" s="40"/>
      <c r="D96" s="40"/>
      <c r="E96" s="81"/>
      <c r="F96" s="17"/>
      <c r="G96" s="17"/>
      <c r="H96" s="132"/>
      <c r="I96" s="82"/>
      <c r="J96" s="83"/>
      <c r="K96" s="84"/>
      <c r="L96" s="85"/>
      <c r="M96" s="48"/>
      <c r="N96" s="48"/>
      <c r="O96" s="25"/>
      <c r="P96" s="16"/>
      <c r="Q96" s="26"/>
      <c r="R96" s="27"/>
      <c r="S96" s="28"/>
      <c r="T96" s="29"/>
      <c r="U96" s="30"/>
      <c r="V96" s="31"/>
      <c r="W96" s="31"/>
      <c r="X96" s="32"/>
      <c r="Y96" s="32"/>
      <c r="Z96" s="32"/>
    </row>
    <row r="97" spans="1:26" ht="22.5" customHeight="1" x14ac:dyDescent="0.25">
      <c r="A97" s="32"/>
      <c r="B97" s="80"/>
      <c r="C97" s="40"/>
      <c r="D97" s="40"/>
      <c r="E97" s="81"/>
      <c r="F97" s="17"/>
      <c r="G97" s="17"/>
      <c r="H97" s="132"/>
      <c r="I97" s="82"/>
      <c r="J97" s="83"/>
      <c r="K97" s="84"/>
      <c r="L97" s="85"/>
      <c r="M97" s="48"/>
      <c r="N97" s="48"/>
      <c r="O97" s="25"/>
      <c r="P97" s="16"/>
      <c r="Q97" s="26"/>
      <c r="R97" s="27"/>
      <c r="S97" s="28"/>
      <c r="T97" s="29"/>
      <c r="U97" s="30"/>
      <c r="V97" s="31"/>
      <c r="W97" s="31"/>
      <c r="X97" s="32"/>
      <c r="Y97" s="32"/>
      <c r="Z97" s="32"/>
    </row>
    <row r="98" spans="1:26" ht="22.5" customHeight="1" x14ac:dyDescent="0.25">
      <c r="A98" s="32"/>
      <c r="B98" s="80"/>
      <c r="C98" s="40"/>
      <c r="D98" s="40"/>
      <c r="E98" s="81"/>
      <c r="F98" s="17"/>
      <c r="G98" s="17"/>
      <c r="H98" s="132"/>
      <c r="I98" s="82"/>
      <c r="J98" s="83"/>
      <c r="K98" s="84"/>
      <c r="L98" s="85"/>
      <c r="M98" s="48"/>
      <c r="N98" s="48"/>
      <c r="O98" s="25"/>
      <c r="P98" s="16"/>
      <c r="Q98" s="26"/>
      <c r="R98" s="27"/>
      <c r="S98" s="28"/>
      <c r="T98" s="29"/>
      <c r="U98" s="30"/>
      <c r="V98" s="31"/>
      <c r="W98" s="31"/>
      <c r="X98" s="32"/>
      <c r="Y98" s="32"/>
      <c r="Z98" s="32"/>
    </row>
    <row r="99" spans="1:26" ht="22.5" customHeight="1" x14ac:dyDescent="0.25">
      <c r="A99" s="32"/>
      <c r="B99" s="80"/>
      <c r="C99" s="40"/>
      <c r="D99" s="40"/>
      <c r="E99" s="81"/>
      <c r="F99" s="17"/>
      <c r="G99" s="17"/>
      <c r="H99" s="132"/>
      <c r="I99" s="82"/>
      <c r="J99" s="83"/>
      <c r="K99" s="84"/>
      <c r="L99" s="85"/>
      <c r="M99" s="48"/>
      <c r="N99" s="48"/>
      <c r="O99" s="25"/>
      <c r="P99" s="16"/>
      <c r="Q99" s="26"/>
      <c r="R99" s="27"/>
      <c r="S99" s="28"/>
      <c r="T99" s="29"/>
      <c r="U99" s="30"/>
      <c r="V99" s="31"/>
      <c r="W99" s="31"/>
      <c r="X99" s="32"/>
      <c r="Y99" s="32"/>
      <c r="Z99" s="32"/>
    </row>
    <row r="100" spans="1:26" ht="22.5" customHeight="1" x14ac:dyDescent="0.25">
      <c r="A100" s="32"/>
      <c r="B100" s="80"/>
      <c r="C100" s="40"/>
      <c r="D100" s="40"/>
      <c r="E100" s="81"/>
      <c r="F100" s="17"/>
      <c r="G100" s="17"/>
      <c r="H100" s="132"/>
      <c r="I100" s="82"/>
      <c r="J100" s="83"/>
      <c r="K100" s="84"/>
      <c r="L100" s="85"/>
      <c r="M100" s="48"/>
      <c r="N100" s="48"/>
      <c r="O100" s="25"/>
      <c r="P100" s="16"/>
      <c r="Q100" s="26"/>
      <c r="R100" s="27"/>
      <c r="S100" s="28"/>
      <c r="T100" s="29"/>
      <c r="U100" s="30"/>
      <c r="V100" s="31"/>
      <c r="W100" s="31"/>
      <c r="X100" s="32"/>
      <c r="Y100" s="32"/>
      <c r="Z100" s="32"/>
    </row>
    <row r="101" spans="1:26" ht="22.5" customHeight="1" x14ac:dyDescent="0.25">
      <c r="A101" s="32"/>
      <c r="B101" s="80"/>
      <c r="C101" s="40"/>
      <c r="D101" s="40"/>
      <c r="E101" s="81"/>
      <c r="F101" s="17"/>
      <c r="G101" s="17"/>
      <c r="H101" s="132"/>
      <c r="I101" s="82"/>
      <c r="J101" s="83"/>
      <c r="K101" s="84"/>
      <c r="L101" s="85"/>
      <c r="M101" s="48"/>
      <c r="N101" s="48"/>
      <c r="O101" s="25"/>
      <c r="P101" s="16"/>
      <c r="Q101" s="26"/>
      <c r="R101" s="27"/>
      <c r="S101" s="28"/>
      <c r="T101" s="29"/>
      <c r="U101" s="30"/>
      <c r="V101" s="31"/>
      <c r="W101" s="31"/>
      <c r="X101" s="32"/>
      <c r="Y101" s="32"/>
      <c r="Z101" s="32"/>
    </row>
    <row r="102" spans="1:26" ht="22.5" customHeight="1" x14ac:dyDescent="0.25">
      <c r="A102" s="32"/>
      <c r="B102" s="80"/>
      <c r="C102" s="40"/>
      <c r="D102" s="40"/>
      <c r="E102" s="81"/>
      <c r="F102" s="17"/>
      <c r="G102" s="17"/>
      <c r="H102" s="132"/>
      <c r="I102" s="82"/>
      <c r="J102" s="83"/>
      <c r="K102" s="84"/>
      <c r="L102" s="85"/>
      <c r="M102" s="48"/>
      <c r="N102" s="48"/>
      <c r="O102" s="25"/>
      <c r="P102" s="16"/>
      <c r="Q102" s="26"/>
      <c r="R102" s="27"/>
      <c r="S102" s="28"/>
      <c r="T102" s="29"/>
      <c r="U102" s="30"/>
      <c r="V102" s="31"/>
      <c r="W102" s="31"/>
      <c r="X102" s="32"/>
      <c r="Y102" s="32"/>
      <c r="Z102" s="32"/>
    </row>
    <row r="103" spans="1:26" ht="22.5" customHeight="1" x14ac:dyDescent="0.25">
      <c r="A103" s="32"/>
      <c r="B103" s="80"/>
      <c r="C103" s="40"/>
      <c r="D103" s="40"/>
      <c r="E103" s="81"/>
      <c r="F103" s="17"/>
      <c r="G103" s="17"/>
      <c r="H103" s="132"/>
      <c r="I103" s="82"/>
      <c r="J103" s="83"/>
      <c r="K103" s="84"/>
      <c r="L103" s="85"/>
      <c r="M103" s="48"/>
      <c r="N103" s="48"/>
      <c r="O103" s="25"/>
      <c r="P103" s="16"/>
      <c r="Q103" s="26"/>
      <c r="R103" s="27"/>
      <c r="S103" s="28"/>
      <c r="T103" s="29"/>
      <c r="U103" s="30"/>
      <c r="V103" s="31"/>
      <c r="W103" s="31"/>
      <c r="X103" s="32"/>
      <c r="Y103" s="32"/>
      <c r="Z103" s="32"/>
    </row>
    <row r="104" spans="1:26" ht="22.5" customHeight="1" x14ac:dyDescent="0.25">
      <c r="A104" s="32"/>
      <c r="B104" s="80"/>
      <c r="C104" s="40"/>
      <c r="D104" s="40"/>
      <c r="E104" s="81"/>
      <c r="F104" s="17"/>
      <c r="G104" s="17"/>
      <c r="H104" s="132"/>
      <c r="I104" s="82"/>
      <c r="J104" s="83"/>
      <c r="K104" s="84"/>
      <c r="L104" s="85"/>
      <c r="M104" s="48"/>
      <c r="N104" s="48"/>
      <c r="O104" s="25"/>
      <c r="P104" s="26"/>
      <c r="Q104" s="26"/>
      <c r="R104" s="27"/>
      <c r="S104" s="28"/>
      <c r="T104" s="29"/>
      <c r="U104" s="30"/>
      <c r="V104" s="31"/>
      <c r="W104" s="32"/>
      <c r="X104" s="32"/>
      <c r="Y104" s="32"/>
    </row>
    <row r="105" spans="1:26" ht="22.5" customHeight="1" x14ac:dyDescent="0.25">
      <c r="A105" s="32"/>
      <c r="B105" s="80"/>
      <c r="C105" s="40"/>
      <c r="D105" s="40"/>
      <c r="E105" s="81"/>
      <c r="F105" s="17"/>
      <c r="G105" s="17"/>
      <c r="H105" s="132"/>
      <c r="I105" s="82"/>
      <c r="J105" s="83"/>
      <c r="K105" s="84"/>
      <c r="L105" s="85"/>
      <c r="M105" s="48"/>
      <c r="N105" s="48"/>
      <c r="O105" s="25"/>
      <c r="P105" s="26"/>
      <c r="Q105" s="26"/>
      <c r="R105" s="27"/>
      <c r="S105" s="28"/>
      <c r="T105" s="29"/>
      <c r="U105" s="30"/>
      <c r="V105" s="31"/>
      <c r="W105" s="32"/>
      <c r="X105" s="32"/>
      <c r="Y105" s="32"/>
    </row>
    <row r="106" spans="1:26" ht="22.5" customHeight="1" x14ac:dyDescent="0.25">
      <c r="A106" s="32"/>
      <c r="B106" s="80"/>
      <c r="C106" s="40"/>
      <c r="D106" s="40"/>
      <c r="E106" s="81"/>
      <c r="F106" s="17"/>
      <c r="G106" s="17"/>
      <c r="H106" s="132"/>
      <c r="I106" s="82"/>
      <c r="J106" s="83"/>
      <c r="K106" s="84"/>
      <c r="L106" s="85"/>
      <c r="M106" s="48"/>
      <c r="N106" s="48"/>
      <c r="O106" s="25"/>
      <c r="P106" s="26"/>
      <c r="Q106" s="26"/>
      <c r="R106" s="27"/>
      <c r="S106" s="28"/>
      <c r="T106" s="29"/>
      <c r="U106" s="30"/>
      <c r="V106" s="31"/>
      <c r="W106" s="32"/>
      <c r="X106" s="32"/>
      <c r="Y106" s="32"/>
    </row>
    <row r="107" spans="1:26" ht="22.5" customHeight="1" x14ac:dyDescent="0.25">
      <c r="A107" s="32"/>
      <c r="B107" s="80"/>
      <c r="C107" s="40"/>
      <c r="D107" s="40"/>
      <c r="E107" s="81"/>
      <c r="F107" s="17"/>
      <c r="G107" s="17"/>
      <c r="H107" s="132"/>
      <c r="I107" s="82"/>
      <c r="J107" s="83"/>
      <c r="K107" s="84"/>
      <c r="L107" s="85"/>
      <c r="M107" s="48"/>
      <c r="N107" s="48"/>
      <c r="O107" s="25"/>
      <c r="P107" s="26"/>
      <c r="Q107" s="26"/>
      <c r="R107" s="27"/>
      <c r="S107" s="28"/>
      <c r="T107" s="29"/>
      <c r="U107" s="30"/>
      <c r="V107" s="31"/>
      <c r="W107" s="32"/>
      <c r="X107" s="32"/>
      <c r="Y107" s="32"/>
    </row>
    <row r="108" spans="1:26" ht="22.5" customHeight="1" x14ac:dyDescent="0.25">
      <c r="A108" s="32"/>
      <c r="B108" s="80"/>
      <c r="C108" s="40"/>
      <c r="D108" s="40"/>
      <c r="E108" s="81"/>
      <c r="F108" s="17"/>
      <c r="G108" s="17"/>
      <c r="H108" s="132"/>
      <c r="I108" s="82"/>
      <c r="J108" s="83"/>
      <c r="K108" s="84"/>
      <c r="L108" s="85"/>
      <c r="M108" s="48"/>
      <c r="N108" s="48"/>
      <c r="O108" s="25"/>
      <c r="P108" s="26"/>
      <c r="Q108" s="26"/>
      <c r="R108" s="27"/>
      <c r="S108" s="28"/>
      <c r="T108" s="29"/>
      <c r="U108" s="30"/>
      <c r="V108" s="31"/>
      <c r="W108" s="32"/>
      <c r="X108" s="32"/>
      <c r="Y108" s="32"/>
    </row>
    <row r="109" spans="1:26" ht="22.5" customHeight="1" x14ac:dyDescent="0.25">
      <c r="A109" s="32"/>
      <c r="B109" s="80"/>
      <c r="C109" s="40"/>
      <c r="D109" s="40"/>
      <c r="E109" s="81"/>
      <c r="F109" s="17"/>
      <c r="G109" s="17"/>
      <c r="H109" s="132"/>
      <c r="I109" s="82"/>
      <c r="J109" s="83"/>
      <c r="K109" s="84"/>
      <c r="L109" s="85"/>
      <c r="M109" s="48"/>
      <c r="N109" s="48"/>
      <c r="O109" s="25"/>
      <c r="P109" s="26"/>
      <c r="Q109" s="26"/>
      <c r="R109" s="27"/>
      <c r="S109" s="28"/>
      <c r="T109" s="29"/>
      <c r="U109" s="30"/>
      <c r="V109" s="31"/>
      <c r="W109" s="32"/>
      <c r="X109" s="32"/>
      <c r="Y109" s="32"/>
    </row>
    <row r="110" spans="1:26" ht="22.5" customHeight="1" x14ac:dyDescent="0.25">
      <c r="A110" s="32"/>
      <c r="B110" s="80"/>
      <c r="C110" s="40"/>
      <c r="D110" s="40"/>
      <c r="E110" s="81"/>
      <c r="F110" s="17"/>
      <c r="G110" s="17"/>
      <c r="H110" s="132"/>
      <c r="I110" s="82"/>
      <c r="J110" s="83"/>
      <c r="K110" s="84"/>
      <c r="L110" s="85"/>
      <c r="M110" s="48"/>
      <c r="N110" s="48"/>
      <c r="O110" s="25"/>
      <c r="P110" s="26"/>
      <c r="Q110" s="26"/>
      <c r="R110" s="27"/>
      <c r="S110" s="28"/>
      <c r="T110" s="29"/>
      <c r="U110" s="30"/>
      <c r="V110" s="31"/>
      <c r="W110" s="32"/>
      <c r="X110" s="32"/>
      <c r="Y110" s="32"/>
    </row>
    <row r="111" spans="1:26" ht="22.5" customHeight="1" x14ac:dyDescent="0.25">
      <c r="A111" s="32"/>
      <c r="B111" s="80"/>
      <c r="C111" s="40"/>
      <c r="D111" s="40"/>
      <c r="E111" s="81"/>
      <c r="F111" s="17"/>
      <c r="G111" s="17"/>
      <c r="H111" s="132"/>
      <c r="I111" s="82"/>
      <c r="J111" s="83"/>
      <c r="K111" s="84"/>
      <c r="L111" s="85"/>
      <c r="M111" s="48"/>
      <c r="N111" s="48"/>
      <c r="O111" s="25"/>
      <c r="P111" s="26"/>
      <c r="Q111" s="26"/>
      <c r="R111" s="27"/>
      <c r="S111" s="28"/>
      <c r="T111" s="29"/>
      <c r="U111" s="30"/>
      <c r="V111" s="31"/>
      <c r="W111" s="32"/>
      <c r="X111" s="32"/>
      <c r="Y111" s="32"/>
    </row>
    <row r="112" spans="1:26" ht="22.5" customHeight="1" x14ac:dyDescent="0.25">
      <c r="A112" s="32"/>
      <c r="B112" s="80"/>
      <c r="C112" s="40"/>
      <c r="D112" s="40"/>
      <c r="E112" s="81"/>
      <c r="F112" s="17"/>
      <c r="G112" s="17"/>
      <c r="H112" s="132"/>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2"/>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2"/>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2"/>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2"/>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2"/>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2"/>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2"/>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2"/>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2"/>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2"/>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2"/>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2"/>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2"/>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2"/>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2"/>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2"/>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2"/>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2"/>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2"/>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2"/>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2"/>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2"/>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2"/>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2"/>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2"/>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2"/>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2"/>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2"/>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2"/>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2"/>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2"/>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2"/>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2"/>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2"/>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2"/>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2"/>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2"/>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2"/>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2"/>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2"/>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2"/>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2"/>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2"/>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2"/>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2"/>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2"/>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2"/>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2"/>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2"/>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2"/>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2"/>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2"/>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2"/>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2"/>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2"/>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2"/>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2"/>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2"/>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2"/>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2"/>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2"/>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2"/>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2"/>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2"/>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2"/>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2"/>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2"/>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2"/>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2"/>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2"/>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2"/>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2"/>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2"/>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2"/>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2"/>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2"/>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2"/>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2"/>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2"/>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2"/>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2"/>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2"/>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2"/>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2"/>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2"/>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2"/>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2"/>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2"/>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2"/>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2"/>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2"/>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2"/>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2"/>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2"/>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2"/>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2"/>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2"/>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2"/>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2"/>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2"/>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2"/>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2"/>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2"/>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2"/>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2"/>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2"/>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2"/>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2"/>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2"/>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2"/>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2"/>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2"/>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2"/>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2"/>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2"/>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2"/>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2"/>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2"/>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2"/>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2"/>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2"/>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2"/>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2"/>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2"/>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2"/>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2"/>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2"/>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2"/>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2"/>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2"/>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2"/>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2"/>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2"/>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2"/>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2"/>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2"/>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2"/>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2"/>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2"/>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2"/>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2"/>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2"/>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2"/>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2"/>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2"/>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2"/>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2"/>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2"/>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2"/>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2"/>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2"/>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2"/>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2"/>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2"/>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2"/>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2"/>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2"/>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2"/>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2"/>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2"/>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2"/>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2"/>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2"/>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2"/>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2"/>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2"/>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2"/>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2"/>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2"/>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2"/>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2"/>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2"/>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2"/>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2"/>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2"/>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2"/>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2"/>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2"/>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2"/>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2"/>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2"/>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2"/>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2"/>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2"/>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2"/>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2"/>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2"/>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2"/>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2"/>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2"/>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2"/>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2"/>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2"/>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2"/>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2"/>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2"/>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2"/>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2"/>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2"/>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2"/>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2"/>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2"/>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2"/>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2"/>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2"/>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2"/>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2"/>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2"/>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2"/>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2"/>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2"/>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2"/>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2"/>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2"/>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2"/>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2"/>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2"/>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2"/>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2"/>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2"/>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2"/>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2"/>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2"/>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2"/>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2"/>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2"/>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2"/>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2"/>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2"/>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2"/>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2"/>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2"/>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2"/>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2"/>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2"/>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2"/>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2"/>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2"/>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2"/>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2"/>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2"/>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2"/>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2"/>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2"/>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2"/>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2"/>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2"/>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2"/>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2"/>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2"/>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2"/>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2"/>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2"/>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2"/>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2"/>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2"/>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2"/>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2"/>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2"/>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2"/>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2"/>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2"/>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2"/>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2"/>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2"/>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2"/>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2"/>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2"/>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2"/>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2"/>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2"/>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2"/>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2"/>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2"/>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2"/>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2"/>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2"/>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2"/>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2"/>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2"/>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2"/>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2"/>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2"/>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2"/>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2"/>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2"/>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2"/>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2"/>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2"/>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2"/>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2"/>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2"/>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2"/>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2"/>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2"/>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2"/>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2"/>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2"/>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2"/>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2"/>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2"/>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2"/>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2"/>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2"/>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2"/>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2"/>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2"/>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2"/>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2"/>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2"/>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2"/>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2"/>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2"/>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2"/>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2"/>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2"/>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2"/>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2"/>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2"/>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2"/>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2"/>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2"/>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2"/>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2"/>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2"/>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2"/>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2"/>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2"/>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2"/>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2"/>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2"/>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2"/>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2"/>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2"/>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2"/>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2"/>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2"/>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2"/>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2"/>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2"/>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2"/>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2"/>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2"/>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2"/>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2"/>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2"/>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2"/>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2"/>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2"/>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2"/>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2"/>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2"/>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2"/>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2"/>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2"/>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2"/>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2"/>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2"/>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2"/>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2"/>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2"/>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2"/>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2"/>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2"/>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2"/>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2"/>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2"/>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2"/>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2"/>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2"/>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2"/>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2"/>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2"/>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2"/>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2"/>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2"/>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2"/>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2"/>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2"/>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2"/>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2"/>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2"/>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2"/>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2"/>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2"/>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2"/>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2"/>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2"/>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2"/>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2"/>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2"/>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2"/>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2"/>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2"/>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2"/>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2"/>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2"/>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2"/>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2"/>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2"/>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2"/>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2"/>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2"/>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2"/>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2"/>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2"/>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2"/>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2"/>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2"/>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2"/>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2"/>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2"/>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2"/>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2"/>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2"/>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2"/>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2"/>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2"/>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2"/>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2"/>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2"/>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2"/>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2"/>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2"/>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2"/>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2"/>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2"/>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2"/>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2"/>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2"/>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2"/>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2"/>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2"/>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2"/>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2"/>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2"/>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2"/>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2"/>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2"/>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2"/>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2"/>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2"/>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2"/>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2"/>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2"/>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2"/>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2"/>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2"/>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2"/>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2"/>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2"/>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2"/>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2"/>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2"/>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2"/>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2"/>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2"/>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2"/>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2"/>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2"/>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2"/>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2"/>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2"/>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2"/>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2"/>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2"/>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2"/>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2"/>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2"/>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2"/>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2"/>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2"/>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2"/>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2"/>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2"/>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2"/>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2"/>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2"/>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2"/>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2"/>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2"/>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2"/>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2"/>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2"/>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2"/>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2"/>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2"/>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2"/>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2"/>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2"/>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2"/>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2"/>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2"/>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2"/>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2"/>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2"/>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2"/>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2"/>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2"/>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2"/>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2"/>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2"/>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2"/>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2"/>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2"/>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2"/>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2"/>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2"/>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2"/>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2"/>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2"/>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2"/>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2"/>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2"/>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2"/>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2"/>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2"/>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2"/>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2"/>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2"/>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2"/>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2"/>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2"/>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2"/>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2"/>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2"/>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2"/>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2"/>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2"/>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2"/>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2"/>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2"/>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2"/>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2"/>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2"/>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2"/>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2"/>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2"/>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2"/>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2"/>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2"/>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2"/>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2"/>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2"/>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2"/>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2"/>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2"/>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2"/>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2"/>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2"/>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2"/>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2"/>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2"/>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2"/>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2"/>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2"/>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2"/>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2"/>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2"/>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2"/>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2"/>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2"/>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2"/>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2"/>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2"/>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2"/>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2"/>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2"/>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2"/>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2"/>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2"/>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2"/>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2"/>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2"/>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2"/>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2"/>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2"/>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2"/>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2"/>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2"/>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2"/>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2"/>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2"/>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2"/>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2"/>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2"/>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2"/>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2"/>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2"/>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2"/>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2"/>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2"/>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2"/>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2"/>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2"/>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2"/>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2"/>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2"/>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2"/>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2"/>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2"/>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2"/>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2"/>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2"/>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2"/>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2"/>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2"/>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2"/>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2"/>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2"/>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2"/>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2"/>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2"/>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2"/>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2"/>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2"/>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2"/>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2"/>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2"/>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2"/>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2"/>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2"/>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2"/>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2"/>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2"/>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2"/>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2"/>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2"/>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2"/>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2"/>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2"/>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2"/>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2"/>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2"/>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2"/>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2"/>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2"/>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2"/>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2"/>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2"/>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2"/>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2"/>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2"/>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2"/>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2"/>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2"/>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2"/>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2"/>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2"/>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2"/>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2"/>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2"/>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2"/>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2"/>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2"/>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2"/>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2"/>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2"/>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2"/>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2"/>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2"/>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2"/>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2"/>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2"/>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2"/>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2"/>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2"/>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2"/>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2"/>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2"/>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2"/>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2"/>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2"/>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2"/>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2"/>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2"/>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2"/>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2"/>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2"/>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2"/>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2"/>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2"/>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2"/>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2"/>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2"/>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2"/>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2"/>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2"/>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2"/>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2"/>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2"/>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2"/>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2"/>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2"/>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2"/>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2"/>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2"/>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2"/>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2"/>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2"/>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2"/>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2"/>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2"/>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2"/>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2"/>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2"/>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2"/>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2"/>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2"/>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2"/>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2"/>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2"/>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2"/>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2"/>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2"/>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2"/>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2"/>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2"/>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2"/>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2"/>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2"/>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2"/>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2"/>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2"/>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2"/>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2"/>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2"/>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2"/>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2"/>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2"/>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2"/>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2"/>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2"/>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2"/>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2"/>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2"/>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2"/>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2"/>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2"/>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2"/>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2"/>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2"/>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2"/>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2"/>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2"/>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2"/>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2"/>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2"/>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2"/>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2"/>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2"/>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2"/>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2"/>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2"/>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2"/>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2"/>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2"/>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2"/>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2"/>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2"/>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2"/>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2"/>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2"/>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2"/>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2"/>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2"/>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2"/>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2"/>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2"/>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2"/>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2"/>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2"/>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2"/>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2"/>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2"/>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2"/>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2"/>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2"/>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2"/>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2"/>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2"/>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2"/>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2"/>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2"/>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2"/>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2"/>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2"/>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2"/>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2"/>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2"/>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2"/>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2"/>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2"/>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2"/>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2"/>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2"/>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2"/>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2"/>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2"/>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2"/>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2"/>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2"/>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2"/>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2"/>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2"/>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2"/>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2"/>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2"/>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2"/>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2"/>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2"/>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2"/>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2"/>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2"/>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2"/>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2"/>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2"/>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2"/>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2"/>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2"/>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2"/>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2"/>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2"/>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2"/>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2"/>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2"/>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2"/>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2"/>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2"/>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2"/>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2"/>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2"/>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2"/>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2"/>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2"/>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2"/>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2"/>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2"/>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2"/>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2"/>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2"/>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2"/>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2"/>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2"/>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2"/>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2"/>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2"/>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2"/>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2"/>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2"/>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2"/>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2"/>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2"/>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2"/>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2"/>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2"/>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2"/>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2"/>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2"/>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2"/>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2"/>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2"/>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2"/>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2"/>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2"/>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2"/>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2"/>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2"/>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2"/>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2"/>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2"/>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2"/>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2"/>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2"/>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2"/>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2"/>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2"/>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2"/>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2"/>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2"/>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2"/>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2"/>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2"/>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2"/>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2"/>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2"/>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2"/>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2"/>
      <c r="I1000" s="82"/>
      <c r="J1000" s="83"/>
      <c r="K1000" s="84"/>
      <c r="L1000" s="85"/>
      <c r="M1000" s="48"/>
      <c r="N1000" s="48"/>
      <c r="O1000" s="25"/>
      <c r="P1000" s="26"/>
      <c r="Q1000" s="26"/>
      <c r="R1000" s="27"/>
      <c r="S1000" s="28"/>
      <c r="T1000" s="29"/>
      <c r="U1000" s="30"/>
      <c r="V1000" s="31"/>
      <c r="W1000" s="32"/>
      <c r="X1000" s="32"/>
      <c r="Y1000" s="32"/>
    </row>
    <row r="1001" spans="1:25" ht="22.5" customHeight="1" x14ac:dyDescent="0.25">
      <c r="A1001" s="32"/>
      <c r="B1001" s="80"/>
      <c r="C1001" s="40"/>
      <c r="D1001" s="40"/>
      <c r="E1001" s="81"/>
      <c r="F1001" s="17"/>
      <c r="G1001" s="17"/>
      <c r="H1001" s="132"/>
      <c r="I1001" s="82"/>
      <c r="J1001" s="83"/>
      <c r="K1001" s="84"/>
      <c r="L1001" s="85"/>
      <c r="M1001" s="48"/>
      <c r="N1001" s="48"/>
      <c r="O1001" s="25"/>
      <c r="P1001" s="26"/>
      <c r="Q1001" s="26"/>
      <c r="R1001" s="27"/>
      <c r="S1001" s="28"/>
      <c r="T1001" s="29"/>
      <c r="U1001" s="30"/>
      <c r="V1001" s="31"/>
      <c r="W1001" s="32"/>
      <c r="X1001" s="32"/>
      <c r="Y1001" s="32"/>
    </row>
    <row r="1002" spans="1:25" ht="22.5" customHeight="1" x14ac:dyDescent="0.25">
      <c r="A1002" s="32"/>
      <c r="B1002" s="80"/>
      <c r="C1002" s="40"/>
      <c r="D1002" s="40"/>
      <c r="E1002" s="81"/>
      <c r="F1002" s="17"/>
      <c r="G1002" s="17"/>
      <c r="H1002" s="132"/>
      <c r="I1002" s="82"/>
      <c r="J1002" s="83"/>
      <c r="K1002" s="84"/>
      <c r="L1002" s="85"/>
      <c r="M1002" s="48"/>
      <c r="N1002" s="48"/>
      <c r="O1002" s="25"/>
      <c r="P1002" s="26"/>
      <c r="Q1002" s="26"/>
      <c r="R1002" s="27"/>
      <c r="S1002" s="28"/>
      <c r="T1002" s="29"/>
      <c r="U1002" s="30"/>
      <c r="V1002" s="31"/>
      <c r="W1002" s="32"/>
      <c r="X1002" s="32"/>
      <c r="Y1002" s="32"/>
    </row>
    <row r="1003" spans="1:25" ht="22.5" customHeight="1" x14ac:dyDescent="0.25">
      <c r="A1003" s="32"/>
      <c r="B1003" s="80"/>
      <c r="C1003" s="40"/>
      <c r="D1003" s="40"/>
      <c r="E1003" s="81"/>
      <c r="F1003" s="17"/>
      <c r="G1003" s="17"/>
      <c r="H1003" s="132"/>
      <c r="I1003" s="82"/>
      <c r="J1003" s="83"/>
      <c r="K1003" s="84"/>
      <c r="L1003" s="85"/>
      <c r="M1003" s="48"/>
      <c r="N1003" s="48"/>
      <c r="O1003" s="25"/>
      <c r="P1003" s="26"/>
      <c r="Q1003" s="26"/>
      <c r="R1003" s="27"/>
      <c r="S1003" s="28"/>
      <c r="T1003" s="29"/>
      <c r="U1003" s="30"/>
      <c r="V1003" s="31"/>
      <c r="W1003" s="32"/>
      <c r="X1003" s="32"/>
      <c r="Y1003" s="32"/>
    </row>
  </sheetData>
  <conditionalFormatting sqref="O2:O103 O1:W1 Q76:W103">
    <cfRule type="expression" dxfId="1" priority="1">
      <formula>"T"</formula>
    </cfRule>
  </conditionalFormatting>
  <dataValidations count="2">
    <dataValidation type="custom" allowBlank="1" showDropDown="1" sqref="O2:O103 K2:L103 E2:E103 U2:W103" xr:uid="{00000000-0002-0000-0000-000000000000}">
      <formula1>AND(ISNUMBER(E2),(NOT(OR(NOT(ISERROR(DATEVALUE(E2))), AND(ISNUMBER(E2), LEFT(CELL("format", E2))="D")))))</formula1>
    </dataValidation>
    <dataValidation allowBlank="1" showDropDown="1" sqref="B2:B103" xr:uid="{00000000-0002-0000-0000-000001000000}"/>
  </dataValidations>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39" activePane="bottomLeft" state="frozen"/>
      <selection pane="bottomLeft" activeCell="A74" sqref="A74"/>
    </sheetView>
  </sheetViews>
  <sheetFormatPr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103</v>
      </c>
      <c r="C1" s="2" t="s">
        <v>104</v>
      </c>
      <c r="D1" s="2" t="s">
        <v>105</v>
      </c>
      <c r="E1" s="1" t="s">
        <v>106</v>
      </c>
      <c r="F1" s="1" t="s">
        <v>107</v>
      </c>
      <c r="G1" s="1" t="s">
        <v>108</v>
      </c>
      <c r="H1" s="1" t="s">
        <v>109</v>
      </c>
      <c r="I1" s="86"/>
      <c r="J1" s="86"/>
      <c r="K1" s="86"/>
      <c r="L1" s="86"/>
      <c r="M1" s="86"/>
      <c r="N1" s="86"/>
      <c r="O1" s="86"/>
      <c r="P1" s="86"/>
      <c r="Q1" s="86"/>
      <c r="R1" s="86"/>
      <c r="S1" s="86"/>
      <c r="T1" s="86"/>
      <c r="U1" s="86"/>
      <c r="V1" s="86"/>
    </row>
    <row r="2" spans="1:22" ht="22.5" customHeight="1" x14ac:dyDescent="0.25">
      <c r="A2" s="12" t="s">
        <v>80</v>
      </c>
      <c r="B2" s="14" t="s">
        <v>110</v>
      </c>
      <c r="C2" s="14" t="s">
        <v>111</v>
      </c>
      <c r="D2" s="14" t="s">
        <v>112</v>
      </c>
      <c r="E2" s="49" t="s">
        <v>113</v>
      </c>
      <c r="F2" s="49"/>
      <c r="G2" s="49"/>
      <c r="H2" s="87"/>
      <c r="I2" s="86"/>
      <c r="J2" s="86"/>
      <c r="K2" s="86"/>
      <c r="L2" s="86"/>
      <c r="M2" s="86"/>
      <c r="N2" s="86"/>
      <c r="O2" s="86"/>
      <c r="P2" s="86"/>
      <c r="Q2" s="86"/>
      <c r="R2" s="86"/>
      <c r="S2" s="86"/>
      <c r="T2" s="86"/>
      <c r="U2" s="86"/>
      <c r="V2" s="86"/>
    </row>
    <row r="3" spans="1:22" ht="22.5" customHeight="1" x14ac:dyDescent="0.25">
      <c r="A3" s="44" t="s">
        <v>85</v>
      </c>
      <c r="B3" s="53" t="s">
        <v>114</v>
      </c>
      <c r="C3" s="53" t="s">
        <v>115</v>
      </c>
      <c r="D3" s="53" t="s">
        <v>112</v>
      </c>
      <c r="E3" s="45" t="s">
        <v>113</v>
      </c>
      <c r="F3" s="45"/>
      <c r="G3" s="45"/>
      <c r="H3" s="88"/>
      <c r="I3" s="86"/>
      <c r="J3" s="86"/>
      <c r="K3" s="86"/>
      <c r="L3" s="86"/>
      <c r="M3" s="86"/>
      <c r="N3" s="86"/>
      <c r="O3" s="86"/>
      <c r="P3" s="86"/>
      <c r="Q3" s="86"/>
      <c r="R3" s="86"/>
      <c r="S3" s="86"/>
      <c r="T3" s="86"/>
      <c r="U3" s="86"/>
      <c r="V3" s="86"/>
    </row>
    <row r="4" spans="1:22" ht="22.5" customHeight="1" x14ac:dyDescent="0.25">
      <c r="A4" s="12" t="s">
        <v>63</v>
      </c>
      <c r="B4" s="14" t="s">
        <v>116</v>
      </c>
      <c r="C4" s="14" t="s">
        <v>117</v>
      </c>
      <c r="D4" s="14" t="s">
        <v>118</v>
      </c>
      <c r="E4" s="49" t="s">
        <v>113</v>
      </c>
      <c r="F4" s="49"/>
      <c r="G4" s="89">
        <v>35</v>
      </c>
      <c r="H4" s="87"/>
      <c r="I4" s="86"/>
      <c r="J4" s="86"/>
      <c r="K4" s="86"/>
      <c r="L4" s="86"/>
      <c r="M4" s="86"/>
      <c r="N4" s="86"/>
      <c r="O4" s="86"/>
      <c r="P4" s="86"/>
      <c r="Q4" s="86"/>
      <c r="R4" s="86"/>
      <c r="S4" s="86"/>
      <c r="T4" s="86"/>
      <c r="U4" s="86"/>
      <c r="V4" s="86"/>
    </row>
    <row r="5" spans="1:22" ht="22.5" customHeight="1" x14ac:dyDescent="0.25">
      <c r="A5" s="44" t="s">
        <v>43</v>
      </c>
      <c r="B5" s="53" t="s">
        <v>119</v>
      </c>
      <c r="C5" s="53" t="s">
        <v>120</v>
      </c>
      <c r="D5" s="53" t="s">
        <v>118</v>
      </c>
      <c r="E5" s="45" t="s">
        <v>113</v>
      </c>
      <c r="F5" s="45"/>
      <c r="G5" s="90">
        <v>36</v>
      </c>
      <c r="H5" s="88"/>
      <c r="I5" s="86"/>
      <c r="J5" s="86"/>
      <c r="K5" s="86"/>
      <c r="L5" s="86"/>
      <c r="M5" s="86"/>
      <c r="N5" s="86"/>
      <c r="O5" s="86"/>
      <c r="P5" s="86"/>
      <c r="Q5" s="86"/>
      <c r="R5" s="86"/>
      <c r="S5" s="86"/>
      <c r="T5" s="86"/>
      <c r="U5" s="86"/>
      <c r="V5" s="86"/>
    </row>
    <row r="6" spans="1:22" ht="22.5" customHeight="1" x14ac:dyDescent="0.25">
      <c r="A6" s="12" t="s">
        <v>97</v>
      </c>
      <c r="B6" s="14" t="s">
        <v>121</v>
      </c>
      <c r="C6" s="14" t="s">
        <v>122</v>
      </c>
      <c r="D6" s="14" t="s">
        <v>118</v>
      </c>
      <c r="E6" s="49" t="s">
        <v>113</v>
      </c>
      <c r="F6" s="49"/>
      <c r="G6" s="49"/>
      <c r="H6" s="87"/>
      <c r="I6" s="86"/>
      <c r="J6" s="86"/>
      <c r="K6" s="86"/>
      <c r="L6" s="86"/>
      <c r="M6" s="86"/>
      <c r="N6" s="86"/>
      <c r="O6" s="86"/>
      <c r="P6" s="86"/>
      <c r="Q6" s="86"/>
      <c r="R6" s="86"/>
      <c r="S6" s="86"/>
      <c r="T6" s="86"/>
      <c r="U6" s="86"/>
      <c r="V6" s="86"/>
    </row>
    <row r="7" spans="1:22" ht="22.5" customHeight="1" x14ac:dyDescent="0.25">
      <c r="A7" s="44" t="s">
        <v>92</v>
      </c>
      <c r="B7" s="53" t="s">
        <v>123</v>
      </c>
      <c r="C7" s="53" t="s">
        <v>124</v>
      </c>
      <c r="D7" s="53" t="s">
        <v>125</v>
      </c>
      <c r="E7" s="45" t="s">
        <v>126</v>
      </c>
      <c r="F7" s="45"/>
      <c r="G7" s="45"/>
      <c r="H7" s="88"/>
      <c r="I7" s="86"/>
      <c r="J7" s="86"/>
      <c r="K7" s="86"/>
      <c r="L7" s="86"/>
      <c r="M7" s="86"/>
      <c r="N7" s="86"/>
      <c r="O7" s="86"/>
      <c r="P7" s="86"/>
      <c r="Q7" s="86"/>
      <c r="R7" s="86"/>
      <c r="S7" s="86"/>
      <c r="T7" s="86"/>
      <c r="U7" s="86"/>
      <c r="V7" s="86"/>
    </row>
    <row r="8" spans="1:22" ht="22.5" customHeight="1" x14ac:dyDescent="0.25">
      <c r="A8" s="12" t="s">
        <v>62</v>
      </c>
      <c r="B8" s="14" t="s">
        <v>127</v>
      </c>
      <c r="C8" s="14" t="s">
        <v>128</v>
      </c>
      <c r="D8" s="14" t="s">
        <v>129</v>
      </c>
      <c r="E8" s="91"/>
      <c r="F8" s="91" t="s">
        <v>130</v>
      </c>
      <c r="G8" s="89">
        <v>12</v>
      </c>
      <c r="H8" s="87"/>
      <c r="I8" s="86"/>
      <c r="J8" s="86"/>
      <c r="K8" s="86"/>
      <c r="L8" s="86"/>
      <c r="M8" s="86"/>
      <c r="N8" s="86"/>
      <c r="O8" s="86"/>
      <c r="P8" s="86"/>
      <c r="Q8" s="86"/>
      <c r="R8" s="86"/>
      <c r="S8" s="86"/>
      <c r="T8" s="86"/>
      <c r="U8" s="86"/>
      <c r="V8" s="86"/>
    </row>
    <row r="9" spans="1:22" ht="22.5" customHeight="1" x14ac:dyDescent="0.25">
      <c r="A9" s="44" t="s">
        <v>69</v>
      </c>
      <c r="B9" s="53" t="s">
        <v>131</v>
      </c>
      <c r="C9" s="53" t="s">
        <v>132</v>
      </c>
      <c r="D9" s="53" t="s">
        <v>133</v>
      </c>
      <c r="E9" s="92"/>
      <c r="F9" s="92" t="s">
        <v>130</v>
      </c>
      <c r="G9" s="90">
        <v>12</v>
      </c>
      <c r="H9" s="88"/>
      <c r="I9" s="86"/>
      <c r="J9" s="86"/>
      <c r="K9" s="86"/>
      <c r="L9" s="86"/>
      <c r="M9" s="86"/>
      <c r="N9" s="86"/>
      <c r="O9" s="86"/>
      <c r="P9" s="86"/>
      <c r="Q9" s="86"/>
      <c r="R9" s="86"/>
      <c r="S9" s="86"/>
      <c r="T9" s="86"/>
      <c r="U9" s="86"/>
      <c r="V9" s="86"/>
    </row>
    <row r="10" spans="1:22" ht="22.5" customHeight="1" x14ac:dyDescent="0.25">
      <c r="A10" s="12" t="s">
        <v>88</v>
      </c>
      <c r="B10" s="14" t="s">
        <v>134</v>
      </c>
      <c r="C10" s="14" t="s">
        <v>132</v>
      </c>
      <c r="D10" s="14" t="s">
        <v>133</v>
      </c>
      <c r="E10" s="91"/>
      <c r="F10" s="91" t="s">
        <v>130</v>
      </c>
      <c r="G10" s="89">
        <v>12</v>
      </c>
      <c r="H10" s="87"/>
      <c r="I10" s="86"/>
      <c r="J10" s="86"/>
      <c r="K10" s="86"/>
      <c r="L10" s="86"/>
      <c r="M10" s="86"/>
      <c r="N10" s="86"/>
      <c r="O10" s="86"/>
      <c r="P10" s="86"/>
      <c r="Q10" s="86"/>
      <c r="R10" s="86"/>
      <c r="S10" s="86"/>
      <c r="T10" s="86"/>
      <c r="U10" s="86"/>
      <c r="V10" s="86"/>
    </row>
    <row r="11" spans="1:22" ht="22.5" customHeight="1" x14ac:dyDescent="0.25">
      <c r="A11" s="44" t="s">
        <v>100</v>
      </c>
      <c r="B11" s="53" t="s">
        <v>135</v>
      </c>
      <c r="C11" s="53" t="s">
        <v>132</v>
      </c>
      <c r="D11" s="53" t="s">
        <v>133</v>
      </c>
      <c r="E11" s="92"/>
      <c r="F11" s="92" t="s">
        <v>130</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136</v>
      </c>
      <c r="C12" s="14" t="s">
        <v>137</v>
      </c>
      <c r="D12" s="14" t="s">
        <v>138</v>
      </c>
      <c r="E12" s="49" t="s">
        <v>139</v>
      </c>
      <c r="F12" s="49"/>
      <c r="G12" s="49"/>
      <c r="H12" s="87"/>
      <c r="I12" s="86"/>
      <c r="J12" s="86"/>
      <c r="K12" s="86"/>
      <c r="L12" s="86"/>
      <c r="M12" s="86"/>
      <c r="N12" s="86"/>
      <c r="O12" s="86"/>
      <c r="P12" s="86"/>
      <c r="Q12" s="86"/>
      <c r="R12" s="86"/>
      <c r="S12" s="86"/>
      <c r="T12" s="86"/>
      <c r="U12" s="86"/>
      <c r="V12" s="86"/>
    </row>
    <row r="13" spans="1:22" ht="22.5" customHeight="1" x14ac:dyDescent="0.25">
      <c r="A13" s="44" t="s">
        <v>94</v>
      </c>
      <c r="B13" s="53" t="s">
        <v>140</v>
      </c>
      <c r="C13" s="53" t="s">
        <v>141</v>
      </c>
      <c r="D13" s="53" t="s">
        <v>142</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143</v>
      </c>
      <c r="C14" s="14" t="s">
        <v>144</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145</v>
      </c>
      <c r="C15" s="53" t="s">
        <v>146</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147</v>
      </c>
      <c r="C16" s="14" t="s">
        <v>148</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149</v>
      </c>
      <c r="C17" s="53" t="s">
        <v>150</v>
      </c>
      <c r="D17" s="53" t="s">
        <v>151</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152</v>
      </c>
      <c r="C18" s="14" t="s">
        <v>153</v>
      </c>
      <c r="D18" s="14" t="s">
        <v>154</v>
      </c>
      <c r="E18" s="49"/>
      <c r="F18" s="49"/>
      <c r="G18" s="49"/>
      <c r="H18" s="87"/>
      <c r="I18" s="86"/>
      <c r="J18" s="86"/>
      <c r="K18" s="86"/>
      <c r="L18" s="86"/>
      <c r="M18" s="86"/>
      <c r="N18" s="86"/>
      <c r="O18" s="86"/>
      <c r="P18" s="86"/>
      <c r="Q18" s="86"/>
      <c r="R18" s="86"/>
      <c r="S18" s="86"/>
      <c r="T18" s="86"/>
      <c r="U18" s="86"/>
      <c r="V18" s="86"/>
    </row>
    <row r="19" spans="1:22" ht="22.5" customHeight="1" x14ac:dyDescent="0.25">
      <c r="A19" s="44" t="s">
        <v>89</v>
      </c>
      <c r="B19" s="53" t="s">
        <v>155</v>
      </c>
      <c r="C19" s="53" t="s">
        <v>156</v>
      </c>
      <c r="D19" s="53" t="s">
        <v>129</v>
      </c>
      <c r="E19" s="92"/>
      <c r="F19" s="92" t="s">
        <v>130</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155</v>
      </c>
      <c r="C20" s="14" t="s">
        <v>157</v>
      </c>
      <c r="D20" s="14" t="s">
        <v>129</v>
      </c>
      <c r="E20" s="91" t="s">
        <v>139</v>
      </c>
      <c r="F20" s="91" t="s">
        <v>130</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158</v>
      </c>
      <c r="C21" s="53" t="s">
        <v>159</v>
      </c>
      <c r="D21" s="53" t="s">
        <v>133</v>
      </c>
      <c r="E21" s="92"/>
      <c r="F21" s="92" t="s">
        <v>130</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90</v>
      </c>
      <c r="B22" s="14" t="s">
        <v>155</v>
      </c>
      <c r="C22" s="14" t="s">
        <v>160</v>
      </c>
      <c r="D22" s="14" t="s">
        <v>129</v>
      </c>
      <c r="E22" s="91"/>
      <c r="F22" s="91" t="s">
        <v>130</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155</v>
      </c>
      <c r="C23" s="53" t="s">
        <v>161</v>
      </c>
      <c r="D23" s="53" t="s">
        <v>129</v>
      </c>
      <c r="E23" s="92" t="s">
        <v>139</v>
      </c>
      <c r="F23" s="92" t="s">
        <v>130</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158</v>
      </c>
      <c r="C24" s="14" t="s">
        <v>132</v>
      </c>
      <c r="D24" s="14" t="s">
        <v>133</v>
      </c>
      <c r="E24" s="91"/>
      <c r="F24" s="91" t="s">
        <v>130</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95</v>
      </c>
      <c r="B25" s="95" t="s">
        <v>162</v>
      </c>
      <c r="C25" s="95" t="s">
        <v>163</v>
      </c>
      <c r="D25" s="95" t="s">
        <v>164</v>
      </c>
      <c r="E25" s="96"/>
      <c r="F25" s="92" t="s">
        <v>165</v>
      </c>
      <c r="G25" s="90">
        <v>20</v>
      </c>
      <c r="H25" s="88"/>
      <c r="I25" s="86"/>
      <c r="J25" s="86"/>
      <c r="K25" s="86"/>
      <c r="L25" s="86"/>
      <c r="M25" s="86"/>
      <c r="N25" s="86"/>
      <c r="O25" s="86"/>
      <c r="P25" s="86"/>
      <c r="Q25" s="86"/>
      <c r="R25" s="86"/>
      <c r="S25" s="86"/>
      <c r="T25" s="86"/>
      <c r="U25" s="86"/>
      <c r="V25" s="86"/>
    </row>
    <row r="26" spans="1:22" ht="22.5" customHeight="1" x14ac:dyDescent="0.25">
      <c r="A26" s="68" t="s">
        <v>96</v>
      </c>
      <c r="B26" s="95" t="s">
        <v>166</v>
      </c>
      <c r="C26" s="95" t="s">
        <v>167</v>
      </c>
      <c r="D26" s="95" t="s">
        <v>168</v>
      </c>
      <c r="E26" s="97"/>
      <c r="F26" s="91" t="s">
        <v>165</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169</v>
      </c>
      <c r="C27" s="95" t="s">
        <v>170</v>
      </c>
      <c r="D27" s="95" t="s">
        <v>170</v>
      </c>
      <c r="E27" s="96"/>
      <c r="F27" s="92" t="s">
        <v>165</v>
      </c>
      <c r="G27" s="45"/>
      <c r="H27" s="88"/>
      <c r="I27" s="86"/>
      <c r="J27" s="86"/>
      <c r="K27" s="86"/>
      <c r="L27" s="86"/>
      <c r="M27" s="86"/>
      <c r="N27" s="86"/>
      <c r="O27" s="86"/>
      <c r="P27" s="86"/>
      <c r="Q27" s="86"/>
      <c r="R27" s="86"/>
      <c r="S27" s="86"/>
      <c r="T27" s="86"/>
      <c r="U27" s="86"/>
      <c r="V27" s="86"/>
    </row>
    <row r="28" spans="1:22" ht="22.5" customHeight="1" x14ac:dyDescent="0.25">
      <c r="A28" s="67" t="s">
        <v>42</v>
      </c>
      <c r="B28" s="98" t="s">
        <v>171</v>
      </c>
      <c r="C28" s="98" t="s">
        <v>170</v>
      </c>
      <c r="D28" s="98" t="s">
        <v>170</v>
      </c>
      <c r="E28" s="40" t="s">
        <v>139</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172</v>
      </c>
      <c r="G29" s="45"/>
      <c r="H29" s="88"/>
      <c r="I29" s="86"/>
      <c r="J29" s="86"/>
      <c r="K29" s="86"/>
      <c r="L29" s="86"/>
      <c r="M29" s="86"/>
      <c r="N29" s="86"/>
      <c r="O29" s="86"/>
      <c r="P29" s="86"/>
      <c r="Q29" s="86"/>
      <c r="R29" s="86"/>
      <c r="S29" s="86"/>
      <c r="T29" s="86"/>
      <c r="U29" s="86"/>
      <c r="V29" s="86"/>
    </row>
    <row r="30" spans="1:22" ht="22.5" customHeight="1" x14ac:dyDescent="0.25">
      <c r="A30" s="68" t="s">
        <v>98</v>
      </c>
      <c r="B30" s="95" t="s">
        <v>173</v>
      </c>
      <c r="C30" s="95" t="s">
        <v>170</v>
      </c>
      <c r="D30" s="95" t="s">
        <v>170</v>
      </c>
      <c r="E30" s="97"/>
      <c r="F30" s="91" t="s">
        <v>165</v>
      </c>
      <c r="G30" s="89">
        <v>9</v>
      </c>
      <c r="H30" s="87"/>
      <c r="I30" s="86"/>
      <c r="J30" s="86"/>
      <c r="K30" s="86"/>
      <c r="L30" s="86"/>
      <c r="M30" s="86"/>
      <c r="N30" s="86"/>
      <c r="O30" s="86"/>
      <c r="P30" s="86"/>
      <c r="Q30" s="86"/>
      <c r="R30" s="86"/>
      <c r="S30" s="86"/>
      <c r="T30" s="86"/>
      <c r="U30" s="86"/>
      <c r="V30" s="86"/>
    </row>
    <row r="31" spans="1:22" ht="22.5" customHeight="1" x14ac:dyDescent="0.25">
      <c r="A31" s="44" t="s">
        <v>91</v>
      </c>
      <c r="B31" s="53" t="s">
        <v>174</v>
      </c>
      <c r="C31" s="53" t="s">
        <v>175</v>
      </c>
      <c r="D31" s="53" t="s">
        <v>176</v>
      </c>
      <c r="E31" s="92"/>
      <c r="F31" s="92" t="s">
        <v>165</v>
      </c>
      <c r="G31" s="45"/>
      <c r="H31" s="88"/>
      <c r="I31" s="86"/>
      <c r="J31" s="86"/>
      <c r="K31" s="86"/>
      <c r="L31" s="86"/>
      <c r="M31" s="86"/>
      <c r="N31" s="86"/>
      <c r="O31" s="86"/>
      <c r="P31" s="86"/>
      <c r="Q31" s="86"/>
      <c r="R31" s="86"/>
      <c r="S31" s="86"/>
      <c r="T31" s="86"/>
      <c r="U31" s="86"/>
      <c r="V31" s="86"/>
    </row>
    <row r="32" spans="1:22" ht="22.5" customHeight="1" x14ac:dyDescent="0.25">
      <c r="A32" s="12" t="s">
        <v>58</v>
      </c>
      <c r="B32" s="14" t="s">
        <v>177</v>
      </c>
      <c r="C32" s="14" t="s">
        <v>178</v>
      </c>
      <c r="D32" s="14" t="s">
        <v>179</v>
      </c>
      <c r="E32" s="49" t="s">
        <v>139</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177</v>
      </c>
      <c r="C33" s="53" t="s">
        <v>180</v>
      </c>
      <c r="D33" s="53" t="s">
        <v>179</v>
      </c>
      <c r="E33" s="45" t="s">
        <v>139</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177</v>
      </c>
      <c r="C34" s="14" t="s">
        <v>181</v>
      </c>
      <c r="D34" s="14" t="s">
        <v>179</v>
      </c>
      <c r="E34" s="49" t="s">
        <v>139</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177</v>
      </c>
      <c r="C35" s="53" t="s">
        <v>182</v>
      </c>
      <c r="D35" s="53" t="s">
        <v>179</v>
      </c>
      <c r="E35" s="45" t="s">
        <v>139</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183</v>
      </c>
      <c r="C36" s="14" t="s">
        <v>184</v>
      </c>
      <c r="D36" s="14" t="s">
        <v>185</v>
      </c>
      <c r="E36" s="49" t="s">
        <v>139</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186</v>
      </c>
      <c r="D37" s="45"/>
      <c r="E37" s="45" t="s">
        <v>139</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187</v>
      </c>
      <c r="D38" s="49"/>
      <c r="E38" s="49" t="s">
        <v>139</v>
      </c>
      <c r="F38" s="49"/>
      <c r="G38" s="49"/>
      <c r="H38" s="87"/>
      <c r="I38" s="86"/>
      <c r="J38" s="86"/>
      <c r="K38" s="86"/>
      <c r="L38" s="86"/>
      <c r="M38" s="86"/>
      <c r="N38" s="86"/>
      <c r="O38" s="86"/>
      <c r="P38" s="86"/>
      <c r="Q38" s="86"/>
      <c r="R38" s="86"/>
      <c r="S38" s="86"/>
      <c r="T38" s="86"/>
      <c r="U38" s="86"/>
      <c r="V38" s="86"/>
    </row>
    <row r="39" spans="1:22" ht="22.5" customHeight="1" x14ac:dyDescent="0.25">
      <c r="A39" s="44" t="s">
        <v>93</v>
      </c>
      <c r="B39" s="45"/>
      <c r="C39" s="53" t="s">
        <v>188</v>
      </c>
      <c r="D39" s="45"/>
      <c r="E39" s="45" t="s">
        <v>189</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190</v>
      </c>
      <c r="C40" s="98" t="s">
        <v>191</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192</v>
      </c>
      <c r="C41" s="98" t="s">
        <v>191</v>
      </c>
      <c r="D41" s="99"/>
      <c r="E41" s="43" t="s">
        <v>139</v>
      </c>
      <c r="F41" s="45"/>
      <c r="G41" s="45"/>
      <c r="H41" s="88"/>
      <c r="I41" s="86"/>
      <c r="J41" s="86"/>
      <c r="K41" s="86"/>
      <c r="L41" s="86"/>
      <c r="M41" s="86"/>
      <c r="N41" s="86"/>
      <c r="O41" s="86"/>
      <c r="P41" s="86"/>
      <c r="Q41" s="86"/>
      <c r="R41" s="86"/>
      <c r="S41" s="86"/>
      <c r="T41" s="86"/>
      <c r="U41" s="86"/>
      <c r="V41" s="86"/>
    </row>
    <row r="42" spans="1:22" ht="22.5" customHeight="1" x14ac:dyDescent="0.25">
      <c r="A42" s="137" t="s">
        <v>347</v>
      </c>
      <c r="B42" s="114" t="s">
        <v>348</v>
      </c>
      <c r="C42" s="114" t="s">
        <v>349</v>
      </c>
      <c r="D42" s="84"/>
      <c r="E42" s="43" t="s">
        <v>350</v>
      </c>
      <c r="F42" s="43"/>
      <c r="G42" s="43"/>
      <c r="H42" s="138"/>
      <c r="I42" s="86"/>
      <c r="J42" s="86"/>
      <c r="K42" s="86"/>
      <c r="L42" s="86"/>
      <c r="M42" s="86"/>
      <c r="N42" s="86"/>
      <c r="O42" s="86"/>
      <c r="P42" s="86"/>
      <c r="Q42" s="86"/>
      <c r="R42" s="86"/>
      <c r="S42" s="86"/>
      <c r="T42" s="86"/>
      <c r="U42" s="86"/>
      <c r="V42" s="86"/>
    </row>
    <row r="43" spans="1:22" ht="22.5" customHeight="1" x14ac:dyDescent="0.25">
      <c r="A43" s="12" t="s">
        <v>32</v>
      </c>
      <c r="B43" s="14" t="s">
        <v>193</v>
      </c>
      <c r="C43" s="14" t="s">
        <v>194</v>
      </c>
      <c r="D43" s="14" t="s">
        <v>195</v>
      </c>
      <c r="E43" s="49" t="s">
        <v>139</v>
      </c>
      <c r="F43" s="49"/>
      <c r="G43" s="49"/>
      <c r="H43" s="87"/>
      <c r="I43" s="86"/>
      <c r="J43" s="86"/>
      <c r="K43" s="86"/>
      <c r="L43" s="86"/>
      <c r="M43" s="86"/>
      <c r="N43" s="86"/>
      <c r="O43" s="86"/>
      <c r="P43" s="86"/>
      <c r="Q43" s="86"/>
      <c r="R43" s="86"/>
      <c r="S43" s="86"/>
      <c r="T43" s="86"/>
      <c r="U43" s="86"/>
      <c r="V43" s="86"/>
    </row>
    <row r="44" spans="1:22" ht="22.5" customHeight="1" x14ac:dyDescent="0.25">
      <c r="A44" s="68" t="s">
        <v>52</v>
      </c>
      <c r="B44" s="95" t="s">
        <v>193</v>
      </c>
      <c r="C44" s="95" t="s">
        <v>196</v>
      </c>
      <c r="D44" s="53" t="s">
        <v>197</v>
      </c>
      <c r="E44" s="45" t="s">
        <v>139</v>
      </c>
      <c r="F44" s="45"/>
      <c r="G44" s="45"/>
      <c r="H44" s="88"/>
      <c r="I44" s="86"/>
      <c r="J44" s="86"/>
      <c r="K44" s="86"/>
      <c r="L44" s="86"/>
      <c r="M44" s="86"/>
      <c r="N44" s="86"/>
      <c r="O44" s="86"/>
      <c r="P44" s="86"/>
      <c r="Q44" s="86"/>
      <c r="R44" s="86"/>
      <c r="S44" s="86"/>
      <c r="T44" s="86"/>
      <c r="U44" s="86"/>
      <c r="V44" s="86"/>
    </row>
    <row r="45" spans="1:22" ht="22.5" customHeight="1" x14ac:dyDescent="0.25">
      <c r="A45" s="12" t="s">
        <v>74</v>
      </c>
      <c r="B45" s="14" t="s">
        <v>193</v>
      </c>
      <c r="C45" s="14" t="s">
        <v>198</v>
      </c>
      <c r="D45" s="14" t="s">
        <v>199</v>
      </c>
      <c r="E45" s="49" t="s">
        <v>139</v>
      </c>
      <c r="F45" s="49"/>
      <c r="G45" s="89">
        <v>33</v>
      </c>
      <c r="H45" s="87"/>
      <c r="I45" s="86"/>
      <c r="J45" s="86"/>
      <c r="K45" s="86"/>
      <c r="L45" s="86"/>
      <c r="M45" s="86"/>
      <c r="N45" s="86"/>
      <c r="O45" s="86"/>
      <c r="P45" s="86"/>
      <c r="Q45" s="86"/>
      <c r="R45" s="86"/>
      <c r="S45" s="86"/>
      <c r="T45" s="86"/>
      <c r="U45" s="86"/>
      <c r="V45" s="86"/>
    </row>
    <row r="46" spans="1:22" ht="22.5" customHeight="1" x14ac:dyDescent="0.25">
      <c r="A46" s="67" t="s">
        <v>48</v>
      </c>
      <c r="B46" s="53" t="s">
        <v>193</v>
      </c>
      <c r="C46" s="98" t="s">
        <v>200</v>
      </c>
      <c r="D46" s="98" t="s">
        <v>201</v>
      </c>
      <c r="E46" s="43" t="s">
        <v>139</v>
      </c>
      <c r="F46" s="45"/>
      <c r="G46" s="45"/>
      <c r="H46" s="88"/>
      <c r="I46" s="86"/>
      <c r="J46" s="86"/>
      <c r="K46" s="86"/>
      <c r="L46" s="86"/>
      <c r="M46" s="86"/>
      <c r="N46" s="86"/>
      <c r="O46" s="86"/>
      <c r="P46" s="86"/>
      <c r="Q46" s="86"/>
      <c r="R46" s="86"/>
      <c r="S46" s="86"/>
      <c r="T46" s="86"/>
      <c r="U46" s="86"/>
      <c r="V46" s="86"/>
    </row>
    <row r="47" spans="1:22" ht="22.5" customHeight="1" x14ac:dyDescent="0.25">
      <c r="A47" s="12" t="s">
        <v>99</v>
      </c>
      <c r="B47" s="14" t="s">
        <v>202</v>
      </c>
      <c r="C47" s="14" t="s">
        <v>203</v>
      </c>
      <c r="D47" s="14" t="s">
        <v>204</v>
      </c>
      <c r="E47" s="49" t="s">
        <v>205</v>
      </c>
      <c r="F47" s="49"/>
      <c r="G47" s="49"/>
      <c r="H47" s="87"/>
      <c r="I47" s="86"/>
      <c r="J47" s="86"/>
      <c r="K47" s="86"/>
      <c r="L47" s="86"/>
      <c r="M47" s="86"/>
      <c r="N47" s="86"/>
      <c r="O47" s="86"/>
      <c r="P47" s="86"/>
      <c r="Q47" s="86"/>
      <c r="R47" s="86"/>
      <c r="S47" s="86"/>
      <c r="T47" s="86"/>
      <c r="U47" s="86"/>
      <c r="V47" s="86"/>
    </row>
    <row r="48" spans="1:22" ht="22.5" customHeight="1" x14ac:dyDescent="0.25">
      <c r="A48" s="44" t="s">
        <v>62</v>
      </c>
      <c r="B48" s="53" t="s">
        <v>206</v>
      </c>
      <c r="C48" s="53" t="s">
        <v>128</v>
      </c>
      <c r="D48" s="53" t="s">
        <v>129</v>
      </c>
      <c r="E48" s="92" t="s">
        <v>139</v>
      </c>
      <c r="F48" s="92" t="s">
        <v>130</v>
      </c>
      <c r="G48" s="90">
        <v>13</v>
      </c>
      <c r="H48" s="88"/>
      <c r="I48" s="86"/>
      <c r="J48" s="86"/>
      <c r="K48" s="86"/>
      <c r="L48" s="86"/>
      <c r="M48" s="86"/>
      <c r="N48" s="86"/>
      <c r="O48" s="86"/>
      <c r="P48" s="86"/>
      <c r="Q48" s="86"/>
      <c r="R48" s="86"/>
      <c r="S48" s="86"/>
      <c r="T48" s="86"/>
      <c r="U48" s="86"/>
      <c r="V48" s="86"/>
    </row>
    <row r="49" spans="1:22" ht="22.5" customHeight="1" x14ac:dyDescent="0.25">
      <c r="A49" s="12" t="s">
        <v>69</v>
      </c>
      <c r="B49" s="14" t="s">
        <v>207</v>
      </c>
      <c r="C49" s="14" t="s">
        <v>132</v>
      </c>
      <c r="D49" s="14" t="s">
        <v>133</v>
      </c>
      <c r="E49" s="91" t="s">
        <v>139</v>
      </c>
      <c r="F49" s="91" t="s">
        <v>130</v>
      </c>
      <c r="G49" s="89">
        <v>13</v>
      </c>
      <c r="H49" s="87"/>
      <c r="I49" s="86"/>
      <c r="J49" s="86"/>
      <c r="K49" s="86"/>
      <c r="L49" s="86"/>
      <c r="M49" s="86"/>
      <c r="N49" s="86"/>
      <c r="O49" s="86"/>
      <c r="P49" s="86"/>
      <c r="Q49" s="86"/>
      <c r="R49" s="86"/>
      <c r="S49" s="86"/>
      <c r="T49" s="86"/>
      <c r="U49" s="86"/>
      <c r="V49" s="86"/>
    </row>
    <row r="50" spans="1:22" ht="22.5" customHeight="1" x14ac:dyDescent="0.25">
      <c r="A50" s="44" t="s">
        <v>88</v>
      </c>
      <c r="B50" s="53" t="s">
        <v>208</v>
      </c>
      <c r="C50" s="53" t="s">
        <v>132</v>
      </c>
      <c r="D50" s="53" t="s">
        <v>133</v>
      </c>
      <c r="E50" s="92"/>
      <c r="F50" s="92" t="s">
        <v>130</v>
      </c>
      <c r="G50" s="90">
        <v>13</v>
      </c>
      <c r="H50" s="88"/>
      <c r="I50" s="86"/>
      <c r="J50" s="86"/>
      <c r="K50" s="86"/>
      <c r="L50" s="86"/>
      <c r="M50" s="86"/>
      <c r="N50" s="86"/>
      <c r="O50" s="86"/>
      <c r="P50" s="86"/>
      <c r="Q50" s="86"/>
      <c r="R50" s="86"/>
      <c r="S50" s="86"/>
      <c r="T50" s="86"/>
      <c r="U50" s="86"/>
      <c r="V50" s="86"/>
    </row>
    <row r="51" spans="1:22" ht="22.5" customHeight="1" x14ac:dyDescent="0.25">
      <c r="A51" s="12" t="s">
        <v>100</v>
      </c>
      <c r="B51" s="14" t="s">
        <v>209</v>
      </c>
      <c r="C51" s="14" t="s">
        <v>132</v>
      </c>
      <c r="D51" s="14" t="s">
        <v>133</v>
      </c>
      <c r="E51" s="91"/>
      <c r="F51" s="91" t="s">
        <v>130</v>
      </c>
      <c r="G51" s="89">
        <v>13</v>
      </c>
      <c r="H51" s="87"/>
      <c r="I51" s="86"/>
      <c r="J51" s="86"/>
      <c r="K51" s="86"/>
      <c r="L51" s="86"/>
      <c r="M51" s="86"/>
      <c r="N51" s="86"/>
      <c r="O51" s="86"/>
      <c r="P51" s="86"/>
      <c r="Q51" s="86"/>
      <c r="R51" s="86"/>
      <c r="S51" s="86"/>
      <c r="T51" s="86"/>
      <c r="U51" s="86"/>
      <c r="V51" s="86"/>
    </row>
    <row r="52" spans="1:22" ht="22.5" customHeight="1" x14ac:dyDescent="0.25">
      <c r="A52" s="68" t="s">
        <v>78</v>
      </c>
      <c r="B52" s="95" t="s">
        <v>210</v>
      </c>
      <c r="C52" s="95" t="s">
        <v>211</v>
      </c>
      <c r="D52" s="95" t="s">
        <v>212</v>
      </c>
      <c r="E52" s="96" t="s">
        <v>139</v>
      </c>
      <c r="F52" s="92" t="s">
        <v>165</v>
      </c>
      <c r="G52" s="90">
        <v>30</v>
      </c>
      <c r="H52" s="88"/>
      <c r="I52" s="86"/>
      <c r="J52" s="86"/>
      <c r="K52" s="86"/>
      <c r="L52" s="86"/>
      <c r="M52" s="86"/>
      <c r="N52" s="86"/>
      <c r="O52" s="86"/>
      <c r="P52" s="86"/>
      <c r="Q52" s="86"/>
      <c r="R52" s="86"/>
      <c r="S52" s="86"/>
      <c r="T52" s="86"/>
      <c r="U52" s="86"/>
      <c r="V52" s="86"/>
    </row>
    <row r="53" spans="1:22" ht="22.5" customHeight="1" x14ac:dyDescent="0.25">
      <c r="A53" s="12" t="s">
        <v>45</v>
      </c>
      <c r="B53" s="14" t="s">
        <v>213</v>
      </c>
      <c r="C53" s="14" t="s">
        <v>214</v>
      </c>
      <c r="D53" s="14" t="s">
        <v>215</v>
      </c>
      <c r="E53" s="91" t="s">
        <v>139</v>
      </c>
      <c r="F53" s="91" t="s">
        <v>165</v>
      </c>
      <c r="G53" s="89">
        <v>27</v>
      </c>
      <c r="H53" s="87"/>
      <c r="I53" s="86"/>
      <c r="J53" s="86"/>
      <c r="K53" s="86"/>
      <c r="L53" s="86"/>
      <c r="M53" s="86"/>
      <c r="N53" s="86"/>
      <c r="O53" s="86"/>
      <c r="P53" s="86"/>
      <c r="Q53" s="86"/>
      <c r="R53" s="86"/>
      <c r="S53" s="86"/>
      <c r="T53" s="86"/>
      <c r="U53" s="86"/>
      <c r="V53" s="86"/>
    </row>
    <row r="54" spans="1:22" ht="22.5" customHeight="1" x14ac:dyDescent="0.25">
      <c r="A54" s="44" t="s">
        <v>101</v>
      </c>
      <c r="B54" s="53" t="s">
        <v>216</v>
      </c>
      <c r="C54" s="53" t="s">
        <v>217</v>
      </c>
      <c r="D54" s="53" t="s">
        <v>218</v>
      </c>
      <c r="E54" s="92"/>
      <c r="F54" s="92" t="s">
        <v>165</v>
      </c>
      <c r="G54" s="90">
        <v>24</v>
      </c>
      <c r="H54" s="88"/>
      <c r="I54" s="86"/>
      <c r="J54" s="86"/>
      <c r="K54" s="86"/>
      <c r="L54" s="86"/>
      <c r="M54" s="86"/>
      <c r="N54" s="86"/>
      <c r="O54" s="86"/>
      <c r="P54" s="86"/>
      <c r="Q54" s="86"/>
      <c r="R54" s="86"/>
      <c r="S54" s="86"/>
      <c r="T54" s="86"/>
      <c r="U54" s="86"/>
      <c r="V54" s="86"/>
    </row>
    <row r="55" spans="1:22" ht="22.5" customHeight="1" x14ac:dyDescent="0.25">
      <c r="A55" s="12" t="s">
        <v>77</v>
      </c>
      <c r="B55" s="14" t="s">
        <v>216</v>
      </c>
      <c r="C55" s="14" t="s">
        <v>219</v>
      </c>
      <c r="D55" s="14" t="s">
        <v>218</v>
      </c>
      <c r="E55" s="91" t="s">
        <v>139</v>
      </c>
      <c r="F55" s="91" t="s">
        <v>165</v>
      </c>
      <c r="G55" s="89">
        <v>24</v>
      </c>
      <c r="H55" s="87"/>
      <c r="I55" s="86"/>
      <c r="J55" s="86"/>
      <c r="K55" s="86"/>
      <c r="L55" s="86"/>
      <c r="M55" s="86"/>
      <c r="N55" s="86"/>
      <c r="O55" s="86"/>
      <c r="P55" s="86"/>
      <c r="Q55" s="86"/>
      <c r="R55" s="86"/>
      <c r="S55" s="86"/>
      <c r="T55" s="86"/>
      <c r="U55" s="86"/>
      <c r="V55" s="86"/>
    </row>
    <row r="56" spans="1:22" ht="22.5" customHeight="1" x14ac:dyDescent="0.25">
      <c r="A56" s="68" t="s">
        <v>76</v>
      </c>
      <c r="B56" s="95" t="s">
        <v>220</v>
      </c>
      <c r="C56" s="95" t="s">
        <v>221</v>
      </c>
      <c r="D56" s="95" t="s">
        <v>222</v>
      </c>
      <c r="E56" s="96" t="s">
        <v>139</v>
      </c>
      <c r="F56" s="92" t="s">
        <v>165</v>
      </c>
      <c r="G56" s="90">
        <v>26</v>
      </c>
      <c r="H56" s="88"/>
      <c r="I56" s="86"/>
      <c r="J56" s="86"/>
      <c r="K56" s="86"/>
      <c r="L56" s="86"/>
      <c r="M56" s="86"/>
      <c r="N56" s="86"/>
      <c r="O56" s="86"/>
      <c r="P56" s="86"/>
      <c r="Q56" s="86"/>
      <c r="R56" s="86"/>
      <c r="S56" s="86"/>
      <c r="T56" s="86"/>
      <c r="U56" s="86"/>
      <c r="V56" s="86"/>
    </row>
    <row r="57" spans="1:22" ht="22.5" customHeight="1" x14ac:dyDescent="0.25">
      <c r="A57" s="68" t="s">
        <v>53</v>
      </c>
      <c r="B57" s="95" t="s">
        <v>223</v>
      </c>
      <c r="C57" s="95" t="s">
        <v>224</v>
      </c>
      <c r="D57" s="95" t="s">
        <v>225</v>
      </c>
      <c r="E57" s="97" t="s">
        <v>139</v>
      </c>
      <c r="F57" s="91" t="s">
        <v>165</v>
      </c>
      <c r="G57" s="89">
        <v>29</v>
      </c>
      <c r="H57" s="87"/>
      <c r="I57" s="86"/>
      <c r="J57" s="86"/>
      <c r="K57" s="86"/>
      <c r="L57" s="86"/>
      <c r="M57" s="86"/>
      <c r="N57" s="86"/>
      <c r="O57" s="86"/>
      <c r="P57" s="86"/>
      <c r="Q57" s="86"/>
      <c r="R57" s="86"/>
      <c r="S57" s="86"/>
      <c r="T57" s="86"/>
      <c r="U57" s="86"/>
      <c r="V57" s="86"/>
    </row>
    <row r="58" spans="1:22" ht="22.5" customHeight="1" x14ac:dyDescent="0.25">
      <c r="A58" s="44" t="s">
        <v>47</v>
      </c>
      <c r="B58" s="53" t="s">
        <v>226</v>
      </c>
      <c r="C58" s="53" t="s">
        <v>227</v>
      </c>
      <c r="D58" s="53" t="s">
        <v>228</v>
      </c>
      <c r="E58" s="92" t="s">
        <v>139</v>
      </c>
      <c r="F58" s="92" t="s">
        <v>130</v>
      </c>
      <c r="G58" s="90">
        <v>29</v>
      </c>
      <c r="H58" s="88"/>
      <c r="I58" s="86"/>
      <c r="J58" s="86"/>
      <c r="K58" s="86"/>
      <c r="L58" s="86"/>
      <c r="M58" s="86"/>
      <c r="N58" s="86"/>
      <c r="O58" s="86"/>
      <c r="P58" s="86"/>
      <c r="Q58" s="86"/>
      <c r="R58" s="86"/>
      <c r="S58" s="86"/>
      <c r="T58" s="86"/>
      <c r="U58" s="86"/>
      <c r="V58" s="86"/>
    </row>
    <row r="59" spans="1:22" ht="22.5" customHeight="1" x14ac:dyDescent="0.25">
      <c r="A59" s="12" t="s">
        <v>59</v>
      </c>
      <c r="B59" s="14" t="s">
        <v>229</v>
      </c>
      <c r="C59" s="14" t="s">
        <v>230</v>
      </c>
      <c r="D59" s="14" t="s">
        <v>231</v>
      </c>
      <c r="E59" s="91" t="s">
        <v>139</v>
      </c>
      <c r="F59" s="91" t="s">
        <v>130</v>
      </c>
      <c r="G59" s="89">
        <v>24</v>
      </c>
      <c r="H59" s="87"/>
      <c r="I59" s="86"/>
      <c r="J59" s="86"/>
      <c r="K59" s="86"/>
      <c r="L59" s="86"/>
      <c r="M59" s="86"/>
      <c r="N59" s="86"/>
      <c r="O59" s="86"/>
      <c r="P59" s="86"/>
      <c r="Q59" s="86"/>
      <c r="R59" s="86"/>
      <c r="S59" s="86"/>
      <c r="T59" s="86"/>
      <c r="U59" s="86"/>
      <c r="V59" s="86"/>
    </row>
    <row r="60" spans="1:22" ht="22.5" customHeight="1" x14ac:dyDescent="0.25">
      <c r="A60" s="44" t="s">
        <v>38</v>
      </c>
      <c r="B60" s="53" t="s">
        <v>232</v>
      </c>
      <c r="C60" s="53" t="s">
        <v>233</v>
      </c>
      <c r="D60" s="53" t="s">
        <v>234</v>
      </c>
      <c r="E60" s="92" t="s">
        <v>139</v>
      </c>
      <c r="F60" s="92" t="s">
        <v>130</v>
      </c>
      <c r="G60" s="90">
        <v>25</v>
      </c>
      <c r="H60" s="88"/>
      <c r="I60" s="86"/>
      <c r="J60" s="86"/>
      <c r="K60" s="86"/>
      <c r="L60" s="86"/>
      <c r="M60" s="86"/>
      <c r="N60" s="86"/>
      <c r="O60" s="86"/>
      <c r="P60" s="86"/>
      <c r="Q60" s="86"/>
      <c r="R60" s="86"/>
      <c r="S60" s="86"/>
      <c r="T60" s="86"/>
      <c r="U60" s="86"/>
      <c r="V60" s="86"/>
    </row>
    <row r="61" spans="1:22" ht="22.5" customHeight="1" x14ac:dyDescent="0.25">
      <c r="A61" s="12" t="s">
        <v>24</v>
      </c>
      <c r="B61" s="14" t="s">
        <v>235</v>
      </c>
      <c r="C61" s="14" t="s">
        <v>236</v>
      </c>
      <c r="D61" s="14" t="s">
        <v>237</v>
      </c>
      <c r="E61" s="91" t="s">
        <v>139</v>
      </c>
      <c r="F61" s="91" t="s">
        <v>130</v>
      </c>
      <c r="G61" s="89">
        <v>31</v>
      </c>
      <c r="H61" s="87"/>
      <c r="I61" s="86"/>
      <c r="J61" s="86"/>
      <c r="K61" s="86"/>
      <c r="L61" s="86"/>
      <c r="M61" s="86"/>
      <c r="N61" s="86"/>
      <c r="O61" s="86"/>
      <c r="P61" s="86"/>
      <c r="Q61" s="86"/>
      <c r="R61" s="86"/>
      <c r="S61" s="86"/>
      <c r="T61" s="86"/>
      <c r="U61" s="86"/>
      <c r="V61" s="86"/>
    </row>
    <row r="62" spans="1:22" ht="22.5" customHeight="1" x14ac:dyDescent="0.25">
      <c r="A62" s="44" t="s">
        <v>50</v>
      </c>
      <c r="B62" s="53" t="s">
        <v>238</v>
      </c>
      <c r="C62" s="53" t="s">
        <v>239</v>
      </c>
      <c r="D62" s="53" t="s">
        <v>240</v>
      </c>
      <c r="E62" s="92" t="s">
        <v>139</v>
      </c>
      <c r="F62" s="92" t="s">
        <v>130</v>
      </c>
      <c r="G62" s="90">
        <v>26</v>
      </c>
      <c r="H62" s="88"/>
      <c r="I62" s="86"/>
      <c r="J62" s="86"/>
      <c r="K62" s="86"/>
      <c r="L62" s="86"/>
      <c r="M62" s="86"/>
      <c r="N62" s="86"/>
      <c r="O62" s="86"/>
      <c r="P62" s="86"/>
      <c r="Q62" s="86"/>
      <c r="R62" s="86"/>
      <c r="S62" s="86"/>
      <c r="T62" s="86"/>
      <c r="U62" s="86"/>
      <c r="V62" s="86"/>
    </row>
    <row r="63" spans="1:22" ht="22.5" customHeight="1" x14ac:dyDescent="0.25">
      <c r="A63" s="12" t="s">
        <v>66</v>
      </c>
      <c r="B63" s="14" t="s">
        <v>241</v>
      </c>
      <c r="C63" s="14" t="s">
        <v>242</v>
      </c>
      <c r="D63" s="14" t="s">
        <v>243</v>
      </c>
      <c r="E63" s="91" t="s">
        <v>139</v>
      </c>
      <c r="F63" s="91" t="s">
        <v>130</v>
      </c>
      <c r="G63" s="89">
        <v>27</v>
      </c>
      <c r="H63" s="87"/>
      <c r="I63" s="86"/>
      <c r="J63" s="86"/>
      <c r="K63" s="86"/>
      <c r="L63" s="86"/>
      <c r="M63" s="86"/>
      <c r="N63" s="86"/>
      <c r="O63" s="86"/>
      <c r="P63" s="86"/>
      <c r="Q63" s="86"/>
      <c r="R63" s="86"/>
      <c r="S63" s="86"/>
      <c r="T63" s="86"/>
      <c r="U63" s="86"/>
      <c r="V63" s="86"/>
    </row>
    <row r="64" spans="1:22" ht="22.5" customHeight="1" x14ac:dyDescent="0.25">
      <c r="A64" s="44" t="s">
        <v>102</v>
      </c>
      <c r="B64" s="53" t="s">
        <v>244</v>
      </c>
      <c r="C64" s="53" t="s">
        <v>245</v>
      </c>
      <c r="D64" s="53" t="s">
        <v>246</v>
      </c>
      <c r="E64" s="92" t="s">
        <v>247</v>
      </c>
      <c r="F64" s="92" t="s">
        <v>130</v>
      </c>
      <c r="G64" s="90">
        <v>28</v>
      </c>
      <c r="H64" s="88"/>
      <c r="I64" s="86"/>
      <c r="J64" s="86"/>
      <c r="K64" s="86"/>
      <c r="L64" s="86"/>
      <c r="M64" s="86"/>
      <c r="N64" s="86"/>
      <c r="O64" s="86"/>
      <c r="P64" s="86"/>
      <c r="Q64" s="86"/>
      <c r="R64" s="86"/>
      <c r="S64" s="86"/>
      <c r="T64" s="86"/>
      <c r="U64" s="86"/>
      <c r="V64" s="86"/>
    </row>
    <row r="65" spans="1:22" ht="22.5" customHeight="1" x14ac:dyDescent="0.25">
      <c r="A65" s="12" t="s">
        <v>67</v>
      </c>
      <c r="B65" s="14" t="s">
        <v>248</v>
      </c>
      <c r="C65" s="14" t="s">
        <v>249</v>
      </c>
      <c r="D65" s="49"/>
      <c r="E65" s="91" t="s">
        <v>139</v>
      </c>
      <c r="F65" s="91" t="s">
        <v>130</v>
      </c>
      <c r="G65" s="89">
        <v>32</v>
      </c>
      <c r="H65" s="87"/>
      <c r="I65" s="86"/>
      <c r="J65" s="86"/>
      <c r="K65" s="86"/>
      <c r="L65" s="86"/>
      <c r="M65" s="86"/>
      <c r="N65" s="86"/>
      <c r="O65" s="86"/>
      <c r="P65" s="86"/>
      <c r="Q65" s="86"/>
      <c r="R65" s="86"/>
      <c r="S65" s="86"/>
      <c r="T65" s="86"/>
      <c r="U65" s="86"/>
      <c r="V65" s="86"/>
    </row>
    <row r="66" spans="1:22" ht="22.5" customHeight="1" x14ac:dyDescent="0.25">
      <c r="A66" s="44" t="s">
        <v>70</v>
      </c>
      <c r="B66" s="53" t="s">
        <v>250</v>
      </c>
      <c r="C66" s="53" t="s">
        <v>251</v>
      </c>
      <c r="D66" s="53" t="s">
        <v>252</v>
      </c>
      <c r="E66" s="45" t="s">
        <v>139</v>
      </c>
      <c r="F66" s="45"/>
      <c r="G66" s="90">
        <v>37</v>
      </c>
      <c r="H66" s="88"/>
      <c r="I66" s="86"/>
      <c r="J66" s="86"/>
      <c r="K66" s="86"/>
      <c r="L66" s="86"/>
      <c r="M66" s="86"/>
      <c r="N66" s="86"/>
      <c r="O66" s="86"/>
      <c r="P66" s="86"/>
      <c r="Q66" s="86"/>
      <c r="R66" s="86"/>
      <c r="S66" s="86"/>
      <c r="T66" s="86"/>
      <c r="U66" s="86"/>
      <c r="V66" s="86"/>
    </row>
    <row r="67" spans="1:22" ht="22.5" customHeight="1" x14ac:dyDescent="0.25">
      <c r="A67" s="67" t="s">
        <v>51</v>
      </c>
      <c r="B67" s="98" t="s">
        <v>253</v>
      </c>
      <c r="C67" s="98" t="s">
        <v>254</v>
      </c>
      <c r="D67" s="99"/>
      <c r="E67" s="40" t="s">
        <v>139</v>
      </c>
      <c r="F67" s="49"/>
      <c r="G67" s="49"/>
      <c r="H67" s="87"/>
      <c r="I67" s="86"/>
      <c r="J67" s="86"/>
      <c r="K67" s="86"/>
      <c r="L67" s="86"/>
      <c r="M67" s="86"/>
      <c r="N67" s="86"/>
      <c r="O67" s="86"/>
      <c r="P67" s="86"/>
      <c r="Q67" s="86"/>
      <c r="R67" s="86"/>
      <c r="S67" s="86"/>
      <c r="T67" s="86"/>
      <c r="U67" s="86"/>
      <c r="V67" s="86"/>
    </row>
    <row r="68" spans="1:22" ht="22.5" customHeight="1" x14ac:dyDescent="0.25">
      <c r="A68" s="44" t="s">
        <v>30</v>
      </c>
      <c r="B68" s="45"/>
      <c r="C68" s="53" t="s">
        <v>255</v>
      </c>
      <c r="D68" s="45"/>
      <c r="E68" s="45" t="s">
        <v>139</v>
      </c>
      <c r="F68" s="45"/>
      <c r="G68" s="45"/>
      <c r="H68" s="88"/>
      <c r="I68" s="86"/>
      <c r="J68" s="86"/>
      <c r="K68" s="86"/>
      <c r="L68" s="86"/>
      <c r="M68" s="86"/>
      <c r="N68" s="86"/>
      <c r="O68" s="86"/>
      <c r="P68" s="86"/>
      <c r="Q68" s="86"/>
      <c r="R68" s="86"/>
      <c r="S68" s="86"/>
      <c r="T68" s="86"/>
      <c r="U68" s="86"/>
      <c r="V68" s="86"/>
    </row>
    <row r="69" spans="1:22" ht="22.5" customHeight="1" x14ac:dyDescent="0.25">
      <c r="A69" s="12" t="s">
        <v>75</v>
      </c>
      <c r="B69" s="14" t="s">
        <v>256</v>
      </c>
      <c r="C69" s="14" t="s">
        <v>257</v>
      </c>
      <c r="D69" s="49"/>
      <c r="E69" s="49" t="s">
        <v>139</v>
      </c>
      <c r="F69" s="49"/>
      <c r="G69" s="49"/>
      <c r="H69" s="87"/>
      <c r="I69" s="86"/>
      <c r="J69" s="86"/>
      <c r="K69" s="86"/>
      <c r="L69" s="86"/>
      <c r="M69" s="86"/>
      <c r="N69" s="86"/>
      <c r="O69" s="86"/>
      <c r="P69" s="86"/>
      <c r="Q69" s="86"/>
      <c r="R69" s="86"/>
      <c r="S69" s="86"/>
      <c r="T69" s="86"/>
      <c r="U69" s="86"/>
      <c r="V69" s="86"/>
    </row>
    <row r="70" spans="1:22" ht="22.5" customHeight="1" x14ac:dyDescent="0.25">
      <c r="A70" s="44" t="s">
        <v>34</v>
      </c>
      <c r="B70" s="53" t="s">
        <v>256</v>
      </c>
      <c r="C70" s="53" t="s">
        <v>258</v>
      </c>
      <c r="D70" s="45"/>
      <c r="E70" s="45" t="s">
        <v>139</v>
      </c>
      <c r="F70" s="45"/>
      <c r="G70" s="45"/>
      <c r="H70" s="88"/>
      <c r="I70" s="86"/>
      <c r="J70" s="86"/>
      <c r="K70" s="86"/>
      <c r="L70" s="86"/>
      <c r="M70" s="86"/>
      <c r="N70" s="86"/>
      <c r="O70" s="86"/>
      <c r="P70" s="86"/>
      <c r="Q70" s="86"/>
      <c r="R70" s="86"/>
      <c r="S70" s="86"/>
      <c r="T70" s="86"/>
      <c r="U70" s="86"/>
      <c r="V70" s="86"/>
    </row>
    <row r="71" spans="1:22" ht="22.5" customHeight="1" x14ac:dyDescent="0.25">
      <c r="A71" s="12" t="s">
        <v>71</v>
      </c>
      <c r="B71" s="14" t="s">
        <v>259</v>
      </c>
      <c r="C71" s="14" t="s">
        <v>260</v>
      </c>
      <c r="D71" s="14" t="s">
        <v>261</v>
      </c>
      <c r="E71" s="49" t="s">
        <v>139</v>
      </c>
      <c r="F71" s="49"/>
      <c r="G71" s="49"/>
      <c r="H71" s="87"/>
      <c r="I71" s="86"/>
      <c r="J71" s="86"/>
      <c r="K71" s="86"/>
      <c r="L71" s="86"/>
      <c r="M71" s="86"/>
      <c r="N71" s="86"/>
      <c r="O71" s="86"/>
      <c r="P71" s="86"/>
      <c r="Q71" s="86"/>
      <c r="R71" s="86"/>
      <c r="S71" s="86"/>
      <c r="T71" s="86"/>
      <c r="U71" s="86"/>
      <c r="V71" s="86"/>
    </row>
    <row r="72" spans="1:22" ht="22.5" customHeight="1" x14ac:dyDescent="0.25">
      <c r="A72" s="41" t="s">
        <v>353</v>
      </c>
      <c r="B72" s="53" t="s">
        <v>262</v>
      </c>
      <c r="C72" s="53" t="s">
        <v>263</v>
      </c>
      <c r="D72" s="53" t="s">
        <v>264</v>
      </c>
      <c r="E72" s="45" t="s">
        <v>139</v>
      </c>
      <c r="F72" s="45"/>
      <c r="G72" s="45"/>
      <c r="H72" s="88"/>
      <c r="I72" s="86"/>
      <c r="J72" s="86"/>
      <c r="K72" s="86"/>
      <c r="L72" s="86"/>
      <c r="M72" s="86"/>
      <c r="N72" s="86"/>
      <c r="O72" s="86"/>
      <c r="P72" s="86"/>
      <c r="Q72" s="86"/>
      <c r="R72" s="86"/>
      <c r="S72" s="86"/>
      <c r="T72" s="86"/>
      <c r="U72" s="86"/>
      <c r="V72" s="86"/>
    </row>
    <row r="73" spans="1:22" s="86" customFormat="1" ht="22.5" customHeight="1" x14ac:dyDescent="0.25">
      <c r="A73" s="41" t="s">
        <v>354</v>
      </c>
      <c r="B73" s="34" t="s">
        <v>352</v>
      </c>
      <c r="C73" s="14" t="s">
        <v>263</v>
      </c>
      <c r="D73" s="45"/>
      <c r="E73" s="45" t="s">
        <v>139</v>
      </c>
      <c r="F73" s="45" t="s">
        <v>139</v>
      </c>
      <c r="G73" s="45" t="s">
        <v>139</v>
      </c>
      <c r="H73" s="45" t="s">
        <v>139</v>
      </c>
    </row>
    <row r="74" spans="1:22" s="86" customFormat="1" ht="22.5" customHeight="1" x14ac:dyDescent="0.25">
      <c r="A74" s="139" t="s">
        <v>355</v>
      </c>
      <c r="B74" s="140" t="s">
        <v>355</v>
      </c>
      <c r="C74" s="141" t="s">
        <v>356</v>
      </c>
      <c r="D74" s="43"/>
      <c r="E74" s="43"/>
      <c r="F74" s="43"/>
      <c r="G74" s="43"/>
      <c r="H74" s="43"/>
    </row>
    <row r="75" spans="1:22" ht="22.5" customHeight="1" x14ac:dyDescent="0.25">
      <c r="A75" s="33" t="s">
        <v>346</v>
      </c>
      <c r="B75" s="100" t="s">
        <v>265</v>
      </c>
      <c r="C75" s="100" t="s">
        <v>266</v>
      </c>
      <c r="D75" s="101"/>
      <c r="E75" s="101" t="s">
        <v>139</v>
      </c>
      <c r="F75" s="101"/>
      <c r="G75" s="101"/>
      <c r="H75" s="102"/>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row r="994" spans="1:22" ht="12.5" x14ac:dyDescent="0.25">
      <c r="A994" s="86"/>
      <c r="B994" s="86"/>
      <c r="C994" s="86"/>
      <c r="D994" s="86"/>
      <c r="E994" s="86"/>
      <c r="F994" s="86"/>
      <c r="G994" s="86"/>
      <c r="H994" s="86"/>
      <c r="I994" s="86"/>
      <c r="J994" s="86"/>
      <c r="K994" s="86"/>
      <c r="L994" s="86"/>
      <c r="M994" s="86"/>
      <c r="N994" s="86"/>
      <c r="O994" s="86"/>
      <c r="P994" s="86"/>
      <c r="Q994" s="86"/>
      <c r="R994" s="86"/>
      <c r="S994" s="86"/>
      <c r="T994" s="86"/>
      <c r="U994" s="86"/>
      <c r="V994" s="86"/>
    </row>
    <row r="995" spans="1:22" ht="12.5" x14ac:dyDescent="0.25">
      <c r="A995" s="86"/>
      <c r="B995" s="86"/>
      <c r="C995" s="86"/>
      <c r="D995" s="86"/>
      <c r="E995" s="86"/>
      <c r="F995" s="86"/>
      <c r="G995" s="86"/>
      <c r="H995" s="86"/>
      <c r="I995" s="86"/>
      <c r="J995" s="86"/>
      <c r="K995" s="86"/>
      <c r="L995" s="86"/>
      <c r="M995" s="86"/>
      <c r="N995" s="86"/>
      <c r="O995" s="86"/>
      <c r="P995" s="86"/>
      <c r="Q995" s="86"/>
      <c r="R995" s="86"/>
      <c r="S995" s="86"/>
      <c r="T995" s="86"/>
      <c r="U995" s="86"/>
      <c r="V995" s="86"/>
    </row>
    <row r="996" spans="1:22" ht="12.5" x14ac:dyDescent="0.25">
      <c r="A996" s="86"/>
      <c r="B996" s="86"/>
      <c r="C996" s="86"/>
      <c r="D996" s="86"/>
      <c r="E996" s="86"/>
      <c r="F996" s="86"/>
      <c r="G996" s="86"/>
      <c r="H996" s="86"/>
      <c r="I996" s="86"/>
      <c r="J996" s="86"/>
      <c r="K996" s="86"/>
      <c r="L996" s="86"/>
      <c r="M996" s="86"/>
      <c r="N996" s="86"/>
      <c r="O996" s="86"/>
      <c r="P996" s="86"/>
      <c r="Q996" s="86"/>
      <c r="R996" s="86"/>
      <c r="S996" s="86"/>
      <c r="T996" s="86"/>
      <c r="U996" s="86"/>
      <c r="V996" s="86"/>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8" r:id="rId17" xr:uid="{00000000-0004-0000-0100-000010000000}"/>
    <hyperlink ref="F49" r:id="rId18" xr:uid="{00000000-0004-0000-0100-000011000000}"/>
    <hyperlink ref="F50" r:id="rId19" xr:uid="{00000000-0004-0000-0100-000012000000}"/>
    <hyperlink ref="F51" r:id="rId20" xr:uid="{00000000-0004-0000-0100-000013000000}"/>
    <hyperlink ref="F52" r:id="rId21" xr:uid="{00000000-0004-0000-0100-000014000000}"/>
    <hyperlink ref="F53" r:id="rId22" xr:uid="{00000000-0004-0000-0100-000015000000}"/>
    <hyperlink ref="F54" r:id="rId23" xr:uid="{00000000-0004-0000-0100-000016000000}"/>
    <hyperlink ref="F55" r:id="rId24" xr:uid="{00000000-0004-0000-0100-000017000000}"/>
    <hyperlink ref="F56" r:id="rId25" xr:uid="{00000000-0004-0000-0100-000018000000}"/>
    <hyperlink ref="F57" r:id="rId26" xr:uid="{00000000-0004-0000-0100-000019000000}"/>
    <hyperlink ref="F58" r:id="rId27" xr:uid="{00000000-0004-0000-0100-00001A000000}"/>
    <hyperlink ref="F59" r:id="rId28" xr:uid="{00000000-0004-0000-0100-00001B000000}"/>
    <hyperlink ref="F60" r:id="rId29" xr:uid="{00000000-0004-0000-0100-00001C000000}"/>
    <hyperlink ref="F61" r:id="rId30" xr:uid="{00000000-0004-0000-0100-00001D000000}"/>
    <hyperlink ref="F62" r:id="rId31" xr:uid="{00000000-0004-0000-0100-00001E000000}"/>
    <hyperlink ref="F63" r:id="rId32" xr:uid="{00000000-0004-0000-0100-00001F000000}"/>
    <hyperlink ref="F64" r:id="rId33" xr:uid="{00000000-0004-0000-0100-000020000000}"/>
    <hyperlink ref="F65"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x14ac:dyDescent="0.25"/>
  <cols>
    <col min="1" max="1" width="31.54296875" customWidth="1"/>
    <col min="5" max="5" width="21.7265625" customWidth="1"/>
  </cols>
  <sheetData>
    <row r="1" spans="1:13" ht="22.5" customHeight="1" x14ac:dyDescent="0.25">
      <c r="A1" s="103" t="s">
        <v>267</v>
      </c>
      <c r="B1" s="118" t="s">
        <v>269</v>
      </c>
      <c r="C1" s="121" t="s">
        <v>268</v>
      </c>
      <c r="D1" s="117" t="s">
        <v>309</v>
      </c>
      <c r="E1" s="103" t="s">
        <v>270</v>
      </c>
    </row>
    <row r="2" spans="1:13" ht="22.5" customHeight="1" x14ac:dyDescent="0.25">
      <c r="A2" s="104" t="s">
        <v>271</v>
      </c>
      <c r="B2" s="119">
        <v>5</v>
      </c>
      <c r="C2" s="122">
        <v>1</v>
      </c>
      <c r="D2">
        <f>Table3[[#This Row],[Real]]/Table3[[#This Row],[Spiel]]</f>
        <v>5</v>
      </c>
      <c r="E2" s="104" t="s">
        <v>272</v>
      </c>
    </row>
    <row r="3" spans="1:13" ht="22.5" customHeight="1" x14ac:dyDescent="0.25">
      <c r="A3" s="105" t="s">
        <v>273</v>
      </c>
      <c r="B3" s="119">
        <v>1000</v>
      </c>
      <c r="C3" s="122">
        <v>1</v>
      </c>
      <c r="D3">
        <f>Table3[[#This Row],[Real]]/Table3[[#This Row],[Spiel]]</f>
        <v>1000</v>
      </c>
      <c r="E3" s="104" t="s">
        <v>274</v>
      </c>
    </row>
    <row r="4" spans="1:13" ht="22.5" customHeight="1" x14ac:dyDescent="0.25">
      <c r="A4" s="105" t="s">
        <v>275</v>
      </c>
      <c r="B4" s="119">
        <v>1</v>
      </c>
      <c r="C4" s="122">
        <v>1</v>
      </c>
      <c r="D4">
        <f>Table3[[#This Row],[Real]]/Table3[[#This Row],[Spiel]]</f>
        <v>1</v>
      </c>
      <c r="E4" s="115" t="s">
        <v>306</v>
      </c>
    </row>
    <row r="5" spans="1:13" ht="22.5" customHeight="1" x14ac:dyDescent="0.25">
      <c r="A5" s="105" t="s">
        <v>4</v>
      </c>
      <c r="B5" s="120">
        <v>10000</v>
      </c>
      <c r="C5" s="122">
        <v>1</v>
      </c>
      <c r="D5">
        <f>Table3[[#This Row],[Real]]/Table3[[#This Row],[Spiel]]</f>
        <v>10000</v>
      </c>
      <c r="E5" s="116" t="s">
        <v>311</v>
      </c>
    </row>
    <row r="6" spans="1:13" ht="22.5" customHeight="1" x14ac:dyDescent="0.25">
      <c r="A6" s="105" t="s">
        <v>5</v>
      </c>
      <c r="B6" s="120">
        <v>1</v>
      </c>
      <c r="C6" s="122">
        <v>1</v>
      </c>
      <c r="D6">
        <f>Table3[[#This Row],[Real]]/Table3[[#This Row],[Spiel]]</f>
        <v>1</v>
      </c>
      <c r="E6" s="116" t="s">
        <v>308</v>
      </c>
    </row>
    <row r="7" spans="1:13" ht="22.5" customHeight="1" x14ac:dyDescent="0.25">
      <c r="A7" s="105" t="s">
        <v>7</v>
      </c>
      <c r="B7" s="120">
        <v>5</v>
      </c>
      <c r="C7" s="122">
        <v>1</v>
      </c>
      <c r="D7">
        <f>Table3[[#This Row],[Real]]/Table3[[#This Row],[Spiel]]</f>
        <v>5</v>
      </c>
      <c r="E7" s="116" t="s">
        <v>310</v>
      </c>
      <c r="G7" s="106"/>
      <c r="H7" s="106"/>
      <c r="I7" s="106"/>
      <c r="J7" s="106"/>
      <c r="K7" s="106"/>
      <c r="L7" s="106"/>
      <c r="M7" s="106"/>
    </row>
    <row r="8" spans="1:13" ht="22.5" customHeight="1" x14ac:dyDescent="0.25">
      <c r="A8" s="105" t="s">
        <v>8</v>
      </c>
      <c r="B8" s="120">
        <v>5</v>
      </c>
      <c r="C8" s="122">
        <v>1</v>
      </c>
      <c r="D8">
        <f>Table3[[#This Row],[Real]]/Table3[[#This Row],[Spiel]]</f>
        <v>5</v>
      </c>
      <c r="E8" s="116" t="s">
        <v>310</v>
      </c>
      <c r="G8" s="106"/>
      <c r="H8" s="106"/>
      <c r="I8" s="106"/>
      <c r="J8" s="106"/>
      <c r="K8" s="106"/>
      <c r="L8" s="106"/>
      <c r="M8" s="106"/>
    </row>
    <row r="9" spans="1:13" ht="22.5" customHeight="1" x14ac:dyDescent="0.25">
      <c r="A9" s="105" t="s">
        <v>9</v>
      </c>
      <c r="B9" s="120">
        <v>5</v>
      </c>
      <c r="C9" s="122">
        <v>1</v>
      </c>
      <c r="D9">
        <f>Table3[[#This Row],[Real]]/Table3[[#This Row],[Spiel]]</f>
        <v>5</v>
      </c>
      <c r="E9" s="116" t="s">
        <v>310</v>
      </c>
    </row>
    <row r="10" spans="1:13" ht="22.5" customHeight="1" x14ac:dyDescent="0.25">
      <c r="A10" s="105" t="s">
        <v>276</v>
      </c>
      <c r="B10" s="119">
        <v>5</v>
      </c>
      <c r="C10" s="122">
        <v>1</v>
      </c>
      <c r="D10">
        <f>Table3[[#This Row],[Real]]/Table3[[#This Row],[Spiel]]</f>
        <v>5</v>
      </c>
      <c r="E10" s="116" t="s">
        <v>310</v>
      </c>
    </row>
    <row r="11" spans="1:13" ht="22.5" customHeight="1" x14ac:dyDescent="0.25">
      <c r="A11" s="105" t="s">
        <v>336</v>
      </c>
      <c r="B11" s="119">
        <v>20</v>
      </c>
      <c r="C11" s="122">
        <v>1</v>
      </c>
      <c r="D11">
        <f>Table3[[#This Row],[Real]]/Table3[[#This Row],[Spiel]]</f>
        <v>20</v>
      </c>
      <c r="E11" s="116" t="s">
        <v>310</v>
      </c>
    </row>
    <row r="12" spans="1:13" ht="22.5" customHeight="1" x14ac:dyDescent="0.25">
      <c r="A12" s="105" t="s">
        <v>11</v>
      </c>
      <c r="B12" s="120">
        <v>1</v>
      </c>
      <c r="C12" s="122">
        <v>1</v>
      </c>
      <c r="D12">
        <f>Table3[[#This Row],[Real]]/Table3[[#This Row],[Spiel]]</f>
        <v>1</v>
      </c>
    </row>
    <row r="13" spans="1:13" ht="15.75" customHeight="1" x14ac:dyDescent="0.25">
      <c r="A13" t="s">
        <v>318</v>
      </c>
      <c r="B13" s="119">
        <v>0.1</v>
      </c>
      <c r="C13" s="125">
        <v>1</v>
      </c>
      <c r="D13">
        <f>Table3[[#This Row],[Real]]/Table3[[#This Row],[Spiel]]</f>
        <v>0.1</v>
      </c>
      <c r="E13" t="s">
        <v>324</v>
      </c>
    </row>
    <row r="14" spans="1:13" ht="15.75" customHeight="1" x14ac:dyDescent="0.25">
      <c r="A14" t="s">
        <v>319</v>
      </c>
      <c r="B14" s="119">
        <v>0.05</v>
      </c>
      <c r="C14" s="125">
        <v>1</v>
      </c>
      <c r="D14">
        <f>Table3[[#This Row],[Real]]/Table3[[#This Row],[Spiel]]</f>
        <v>0.05</v>
      </c>
      <c r="E14" t="s">
        <v>324</v>
      </c>
    </row>
    <row r="15" spans="1:13" ht="15.75" customHeight="1" x14ac:dyDescent="0.25">
      <c r="A15" t="s">
        <v>320</v>
      </c>
      <c r="B15" s="119">
        <v>0.03</v>
      </c>
      <c r="C15" s="125">
        <v>1</v>
      </c>
      <c r="D15">
        <f>Table3[[#This Row],[Real]]/Table3[[#This Row],[Spiel]]</f>
        <v>0.03</v>
      </c>
      <c r="E15" t="s">
        <v>324</v>
      </c>
    </row>
    <row r="16" spans="1:13" ht="15.75" customHeight="1" x14ac:dyDescent="0.25">
      <c r="A16" t="s">
        <v>321</v>
      </c>
      <c r="B16" s="119">
        <v>1.4999999999999999E-2</v>
      </c>
      <c r="C16" s="125">
        <v>1</v>
      </c>
      <c r="D16">
        <f>Table3[[#This Row],[Real]]/Table3[[#This Row],[Spiel]]</f>
        <v>1.4999999999999999E-2</v>
      </c>
      <c r="E16" t="s">
        <v>324</v>
      </c>
    </row>
    <row r="17" spans="1:5" ht="15.75" customHeight="1" x14ac:dyDescent="0.25">
      <c r="A17" t="s">
        <v>322</v>
      </c>
      <c r="B17" s="119">
        <v>0</v>
      </c>
      <c r="C17" s="125">
        <v>1</v>
      </c>
      <c r="D17">
        <f>Table3[[#This Row],[Real]]/Table3[[#This Row],[Spiel]]</f>
        <v>0</v>
      </c>
      <c r="E17" t="s">
        <v>324</v>
      </c>
    </row>
    <row r="18" spans="1:5" ht="15.75" customHeight="1" x14ac:dyDescent="0.25">
      <c r="A18" t="s">
        <v>318</v>
      </c>
      <c r="B18" s="124"/>
      <c r="C18" s="125"/>
    </row>
    <row r="19" spans="1:5" ht="15.75" customHeight="1" x14ac:dyDescent="0.25">
      <c r="A19" t="s">
        <v>319</v>
      </c>
      <c r="B19" s="124"/>
      <c r="C19" s="125"/>
    </row>
    <row r="20" spans="1:5" ht="15.75" customHeight="1" x14ac:dyDescent="0.25">
      <c r="A20" t="s">
        <v>320</v>
      </c>
      <c r="B20" s="124"/>
      <c r="C20" s="125"/>
    </row>
    <row r="21" spans="1:5" ht="15.75" customHeight="1" x14ac:dyDescent="0.25">
      <c r="A21" t="s">
        <v>321</v>
      </c>
      <c r="B21" s="124"/>
      <c r="C21" s="125"/>
    </row>
    <row r="22" spans="1:5" ht="15.75" customHeight="1" x14ac:dyDescent="0.25">
      <c r="A22" t="s">
        <v>322</v>
      </c>
      <c r="B22" s="124"/>
      <c r="C22" s="125"/>
    </row>
    <row r="23" spans="1:5" ht="15.75" customHeight="1" x14ac:dyDescent="0.25">
      <c r="A23" t="s">
        <v>330</v>
      </c>
      <c r="B23" s="119">
        <v>0.1</v>
      </c>
      <c r="C23" s="125">
        <v>0.2</v>
      </c>
      <c r="D23">
        <f>Table3[[#This Row],[Real]]/Table3[[#This Row],[Spiel]]</f>
        <v>0.5</v>
      </c>
      <c r="E23" t="s">
        <v>335</v>
      </c>
    </row>
    <row r="24" spans="1:5" ht="15.75" customHeight="1" x14ac:dyDescent="0.25">
      <c r="A24" t="s">
        <v>331</v>
      </c>
      <c r="B24" s="119">
        <v>0.08</v>
      </c>
      <c r="C24" s="125">
        <v>0.2</v>
      </c>
      <c r="D24">
        <f>Table3[[#This Row],[Real]]/Table3[[#This Row],[Spiel]]</f>
        <v>0.39999999999999997</v>
      </c>
      <c r="E24" t="s">
        <v>335</v>
      </c>
    </row>
    <row r="25" spans="1:5" ht="15.75" customHeight="1" x14ac:dyDescent="0.25">
      <c r="A25" t="s">
        <v>332</v>
      </c>
      <c r="B25" s="119">
        <v>0.2</v>
      </c>
      <c r="C25" s="125">
        <v>0.2</v>
      </c>
      <c r="D25">
        <f>Table3[[#This Row],[Real]]/Table3[[#This Row],[Spiel]]</f>
        <v>1</v>
      </c>
      <c r="E25" t="s">
        <v>335</v>
      </c>
    </row>
    <row r="26" spans="1:5" ht="15.75" customHeight="1" x14ac:dyDescent="0.25">
      <c r="A26" t="s">
        <v>333</v>
      </c>
      <c r="B26" s="119">
        <v>0.5</v>
      </c>
      <c r="C26" s="125">
        <v>0.2</v>
      </c>
      <c r="D26">
        <f>Table3[[#This Row],[Real]]/Table3[[#This Row],[Spiel]]</f>
        <v>2.5</v>
      </c>
      <c r="E26" t="s">
        <v>335</v>
      </c>
    </row>
    <row r="27" spans="1:5" ht="15.75" customHeight="1" x14ac:dyDescent="0.25">
      <c r="A27" t="s">
        <v>334</v>
      </c>
      <c r="B27" s="119">
        <v>0.15</v>
      </c>
      <c r="C27" s="125">
        <v>0.2</v>
      </c>
      <c r="D27">
        <f>Table3[[#This Row],[Real]]/Table3[[#This Row],[Spiel]]</f>
        <v>0.74999999999999989</v>
      </c>
      <c r="E27" t="s">
        <v>335</v>
      </c>
    </row>
    <row r="28" spans="1:5" ht="15.75" customHeight="1" x14ac:dyDescent="0.25">
      <c r="A28" t="s">
        <v>337</v>
      </c>
      <c r="B28" s="134"/>
      <c r="C28" s="125">
        <v>2</v>
      </c>
    </row>
    <row r="29" spans="1:5" ht="15.75" customHeight="1" x14ac:dyDescent="0.25">
      <c r="A29" t="s">
        <v>338</v>
      </c>
      <c r="B29" s="119">
        <v>1</v>
      </c>
      <c r="C29" s="125">
        <v>1</v>
      </c>
      <c r="D29">
        <f>Table3[[#This Row],[Real]]/Table3[[#This Row],[Spiel]]</f>
        <v>1</v>
      </c>
    </row>
    <row r="30" spans="1:5" ht="15.75" customHeight="1" x14ac:dyDescent="0.25">
      <c r="A30" t="s">
        <v>339</v>
      </c>
      <c r="B30" s="119">
        <v>2</v>
      </c>
      <c r="C30" s="125">
        <v>1</v>
      </c>
      <c r="D30">
        <f>Table3[[#This Row],[Real]]/Table3[[#This Row],[Spiel]]</f>
        <v>2</v>
      </c>
    </row>
    <row r="31" spans="1:5" ht="15.75" customHeight="1" x14ac:dyDescent="0.25">
      <c r="A31" t="s">
        <v>340</v>
      </c>
      <c r="B31" s="119">
        <v>2.5</v>
      </c>
      <c r="C31" s="125">
        <v>1</v>
      </c>
      <c r="D31">
        <f>Table3[[#This Row],[Real]]/Table3[[#This Row],[Spiel]]</f>
        <v>2.5</v>
      </c>
    </row>
    <row r="32" spans="1:5" ht="15.75" customHeight="1" x14ac:dyDescent="0.25">
      <c r="A32" t="s">
        <v>341</v>
      </c>
      <c r="B32" s="119">
        <v>3.3330000000000002</v>
      </c>
      <c r="C32" s="125">
        <v>1</v>
      </c>
      <c r="D32">
        <f>Table3[[#This Row],[Real]]/Table3[[#This Row],[Spiel]]</f>
        <v>3.3330000000000002</v>
      </c>
    </row>
    <row r="33" spans="1:4" ht="15.75" customHeight="1" x14ac:dyDescent="0.25">
      <c r="A33" t="s">
        <v>342</v>
      </c>
      <c r="B33" s="119">
        <v>4.5454499999999998</v>
      </c>
      <c r="C33" s="125">
        <v>1</v>
      </c>
      <c r="D33">
        <f>Table3[[#This Row],[Real]]/Table3[[#This Row],[Spiel]]</f>
        <v>4.5454499999999998</v>
      </c>
    </row>
    <row r="34" spans="1:4" ht="15.75" customHeight="1" x14ac:dyDescent="0.25">
      <c r="A34" t="s">
        <v>343</v>
      </c>
      <c r="B34" s="119">
        <v>6.66</v>
      </c>
      <c r="C34" s="125">
        <v>1</v>
      </c>
      <c r="D34">
        <f>Table3[[#This Row],[Real]]/Table3[[#This Row],[Spiel]]</f>
        <v>6.66</v>
      </c>
    </row>
    <row r="35" spans="1:4" ht="15.75" customHeight="1" x14ac:dyDescent="0.25">
      <c r="B35" s="135"/>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9" sqref="B9"/>
    </sheetView>
  </sheetViews>
  <sheetFormatPr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3" t="s">
        <v>267</v>
      </c>
      <c r="B1" s="103" t="s">
        <v>277</v>
      </c>
      <c r="C1" s="107" t="s">
        <v>278</v>
      </c>
      <c r="D1" s="108" t="s">
        <v>279</v>
      </c>
      <c r="E1" s="108" t="s">
        <v>280</v>
      </c>
      <c r="F1" s="108" t="s">
        <v>281</v>
      </c>
      <c r="G1" s="108" t="s">
        <v>282</v>
      </c>
      <c r="H1" s="108" t="s">
        <v>283</v>
      </c>
      <c r="I1" s="108" t="s">
        <v>284</v>
      </c>
      <c r="J1" s="108" t="s">
        <v>285</v>
      </c>
      <c r="K1" s="108" t="s">
        <v>286</v>
      </c>
      <c r="L1" s="108" t="s">
        <v>287</v>
      </c>
      <c r="M1" s="108" t="s">
        <v>288</v>
      </c>
    </row>
    <row r="2" spans="1:13" ht="22.5" customHeight="1" x14ac:dyDescent="0.25">
      <c r="A2" s="104" t="s">
        <v>289</v>
      </c>
      <c r="B2" s="104">
        <v>9</v>
      </c>
      <c r="C2" s="104" t="s">
        <v>290</v>
      </c>
      <c r="D2" s="104">
        <v>-45</v>
      </c>
      <c r="E2" s="104">
        <v>-40</v>
      </c>
      <c r="F2" s="104">
        <v>-35</v>
      </c>
      <c r="G2" s="104">
        <v>-30</v>
      </c>
      <c r="H2" s="104">
        <v>-25</v>
      </c>
      <c r="I2" s="104">
        <v>-20</v>
      </c>
      <c r="J2" s="104">
        <v>-15</v>
      </c>
      <c r="K2" s="104">
        <v>-10</v>
      </c>
      <c r="L2" s="104">
        <v>-5</v>
      </c>
      <c r="M2" s="104">
        <v>0</v>
      </c>
    </row>
    <row r="3" spans="1:13" ht="22.5" customHeight="1" x14ac:dyDescent="0.25">
      <c r="A3" s="104" t="s">
        <v>7</v>
      </c>
      <c r="B3" s="104">
        <v>4</v>
      </c>
      <c r="C3" s="109" t="s">
        <v>276</v>
      </c>
      <c r="D3" s="104">
        <v>4</v>
      </c>
      <c r="E3" s="104">
        <v>5</v>
      </c>
      <c r="F3" s="104">
        <v>6</v>
      </c>
      <c r="G3" s="104">
        <v>7</v>
      </c>
      <c r="H3" s="104">
        <v>8</v>
      </c>
      <c r="I3" s="104">
        <v>9</v>
      </c>
      <c r="J3" s="104">
        <v>10</v>
      </c>
      <c r="K3" s="104">
        <v>11</v>
      </c>
      <c r="L3" s="104">
        <v>12</v>
      </c>
      <c r="M3" s="104">
        <v>13</v>
      </c>
    </row>
    <row r="4" spans="1:13" ht="22.5" customHeight="1" x14ac:dyDescent="0.25">
      <c r="A4" s="104" t="s">
        <v>8</v>
      </c>
      <c r="B4" s="104">
        <v>0</v>
      </c>
      <c r="C4" s="109" t="s">
        <v>276</v>
      </c>
      <c r="D4" s="104">
        <v>0</v>
      </c>
      <c r="E4" s="104">
        <v>0</v>
      </c>
      <c r="F4" s="104">
        <v>-1</v>
      </c>
      <c r="G4" s="104">
        <v>-1</v>
      </c>
      <c r="H4" s="104">
        <v>-2</v>
      </c>
      <c r="I4" s="104">
        <v>-2</v>
      </c>
      <c r="J4" s="104">
        <v>-3</v>
      </c>
      <c r="K4" s="104">
        <v>-3</v>
      </c>
      <c r="L4" s="104">
        <v>-4</v>
      </c>
      <c r="M4" s="104">
        <v>-4</v>
      </c>
    </row>
    <row r="5" spans="1:13" ht="22.5" customHeight="1" x14ac:dyDescent="0.25">
      <c r="A5" s="104" t="s">
        <v>9</v>
      </c>
      <c r="B5" s="104">
        <v>0</v>
      </c>
      <c r="C5" s="109" t="s">
        <v>276</v>
      </c>
      <c r="D5" s="104">
        <v>0</v>
      </c>
      <c r="E5" s="104">
        <v>-1</v>
      </c>
      <c r="F5" s="104">
        <v>-2</v>
      </c>
      <c r="G5" s="104">
        <v>-3</v>
      </c>
      <c r="H5" s="104">
        <v>-4</v>
      </c>
      <c r="I5" s="104">
        <v>-5</v>
      </c>
      <c r="J5" s="104">
        <v>-6</v>
      </c>
      <c r="K5" s="104">
        <v>-7</v>
      </c>
      <c r="L5" s="104">
        <v>-8</v>
      </c>
      <c r="M5" s="104">
        <v>-9</v>
      </c>
    </row>
    <row r="6" spans="1:13" ht="22.5" customHeight="1" x14ac:dyDescent="0.25">
      <c r="A6" s="104" t="s">
        <v>12</v>
      </c>
      <c r="B6" s="104">
        <v>3</v>
      </c>
      <c r="C6" s="109" t="s">
        <v>291</v>
      </c>
      <c r="D6" s="104">
        <v>2</v>
      </c>
      <c r="E6" s="104">
        <v>3</v>
      </c>
      <c r="F6" s="104">
        <v>3</v>
      </c>
      <c r="G6" s="104">
        <v>4</v>
      </c>
      <c r="H6" s="104">
        <v>4</v>
      </c>
      <c r="I6" s="104">
        <v>5</v>
      </c>
      <c r="J6" s="104">
        <v>5</v>
      </c>
      <c r="K6" s="104">
        <v>6</v>
      </c>
      <c r="L6" s="104">
        <v>6</v>
      </c>
      <c r="M6" s="104">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3" t="s">
        <v>292</v>
      </c>
      <c r="B1" s="117" t="s">
        <v>317</v>
      </c>
      <c r="C1" s="123" t="s">
        <v>312</v>
      </c>
      <c r="D1" s="123" t="s">
        <v>313</v>
      </c>
      <c r="E1" s="123" t="s">
        <v>314</v>
      </c>
      <c r="F1" s="123" t="s">
        <v>315</v>
      </c>
      <c r="G1" s="123" t="s">
        <v>316</v>
      </c>
      <c r="H1" s="121" t="s">
        <v>293</v>
      </c>
      <c r="I1" s="121" t="s">
        <v>294</v>
      </c>
      <c r="J1" s="121" t="s">
        <v>295</v>
      </c>
      <c r="K1" s="121" t="s">
        <v>67</v>
      </c>
      <c r="L1" s="121" t="s">
        <v>296</v>
      </c>
    </row>
    <row r="2" spans="1:12" ht="22.5" customHeight="1" x14ac:dyDescent="0.25">
      <c r="A2" s="104">
        <v>0</v>
      </c>
      <c r="B2" s="104">
        <v>200</v>
      </c>
      <c r="C2" s="104">
        <v>40</v>
      </c>
      <c r="D2" s="104">
        <v>10</v>
      </c>
      <c r="E2" s="104">
        <v>10</v>
      </c>
      <c r="F2" s="104">
        <v>0</v>
      </c>
      <c r="G2" s="104">
        <v>0</v>
      </c>
      <c r="H2" s="104">
        <f>Table6[[#This Row],[Gas Real]]*years_per_round</f>
        <v>200</v>
      </c>
      <c r="I2" s="104">
        <f>Table6[[#This Row],[Biomasse Real]]*years_per_round</f>
        <v>50</v>
      </c>
      <c r="J2" s="104">
        <f>Table6[[#This Row],[Fernwärme Real]]*years_per_round</f>
        <v>50</v>
      </c>
      <c r="K2" s="104">
        <f>Table6[[#This Row],[Grünes Gas Real]]*years_per_round</f>
        <v>0</v>
      </c>
      <c r="L2" s="104">
        <f>Table6[[#This Row],[Wärmepumpe Real]]*years_per_round</f>
        <v>0</v>
      </c>
    </row>
    <row r="3" spans="1:12" ht="22.5" customHeight="1" x14ac:dyDescent="0.25">
      <c r="A3" s="104">
        <v>1</v>
      </c>
      <c r="B3" s="104">
        <v>180</v>
      </c>
      <c r="C3" s="104">
        <v>36</v>
      </c>
      <c r="D3" s="104">
        <v>9</v>
      </c>
      <c r="E3" s="104">
        <v>9</v>
      </c>
      <c r="F3" s="104">
        <v>0</v>
      </c>
      <c r="G3" s="104">
        <v>0</v>
      </c>
      <c r="H3" s="104">
        <f>Table6[[#This Row],[Gas Real]]*years_per_round</f>
        <v>180</v>
      </c>
      <c r="I3" s="104">
        <f>Table6[[#This Row],[Biomasse Real]]*years_per_round</f>
        <v>45</v>
      </c>
      <c r="J3" s="104">
        <f>Table6[[#This Row],[Fernwärme Real]]*years_per_round</f>
        <v>45</v>
      </c>
      <c r="K3" s="104">
        <f>Table6[[#This Row],[Grünes Gas Real]]*years_per_round</f>
        <v>0</v>
      </c>
      <c r="L3" s="104">
        <f>Table6[[#This Row],[Wärmepumpe Real]]*years_per_round</f>
        <v>0</v>
      </c>
    </row>
    <row r="4" spans="1:12" ht="22.5" customHeight="1" x14ac:dyDescent="0.25">
      <c r="A4" s="104">
        <v>2</v>
      </c>
      <c r="B4" s="104">
        <v>160</v>
      </c>
      <c r="C4" s="104">
        <v>32</v>
      </c>
      <c r="D4" s="104">
        <v>8</v>
      </c>
      <c r="E4" s="104">
        <v>8</v>
      </c>
      <c r="F4" s="104">
        <v>0</v>
      </c>
      <c r="G4" s="104">
        <v>0</v>
      </c>
      <c r="H4" s="104">
        <f>Table6[[#This Row],[Gas Real]]*years_per_round</f>
        <v>160</v>
      </c>
      <c r="I4" s="104">
        <f>Table6[[#This Row],[Biomasse Real]]*years_per_round</f>
        <v>40</v>
      </c>
      <c r="J4" s="104">
        <f>Table6[[#This Row],[Fernwärme Real]]*years_per_round</f>
        <v>40</v>
      </c>
      <c r="K4" s="104">
        <f>Table6[[#This Row],[Grünes Gas Real]]*years_per_round</f>
        <v>0</v>
      </c>
      <c r="L4" s="104">
        <f>Table6[[#This Row],[Wärmepumpe Real]]*years_per_round</f>
        <v>0</v>
      </c>
    </row>
    <row r="5" spans="1:12" ht="22.5" customHeight="1" x14ac:dyDescent="0.25">
      <c r="A5" s="104">
        <v>3</v>
      </c>
      <c r="B5" s="104">
        <v>140</v>
      </c>
      <c r="C5" s="104">
        <v>28</v>
      </c>
      <c r="D5" s="104">
        <v>7</v>
      </c>
      <c r="E5" s="104">
        <v>7</v>
      </c>
      <c r="F5" s="104">
        <v>0</v>
      </c>
      <c r="G5" s="104">
        <v>0</v>
      </c>
      <c r="H5" s="104">
        <f>Table6[[#This Row],[Gas Real]]*years_per_round</f>
        <v>140</v>
      </c>
      <c r="I5" s="104">
        <f>Table6[[#This Row],[Biomasse Real]]*years_per_round</f>
        <v>35</v>
      </c>
      <c r="J5" s="104">
        <f>Table6[[#This Row],[Fernwärme Real]]*years_per_round</f>
        <v>35</v>
      </c>
      <c r="K5" s="104">
        <f>Table6[[#This Row],[Grünes Gas Real]]*years_per_round</f>
        <v>0</v>
      </c>
      <c r="L5" s="104">
        <f>Table6[[#This Row],[Wärmepumpe Real]]*years_per_round</f>
        <v>0</v>
      </c>
    </row>
    <row r="6" spans="1:12" ht="22.5" customHeight="1" x14ac:dyDescent="0.25">
      <c r="A6" s="104">
        <v>4</v>
      </c>
      <c r="B6" s="104">
        <v>120</v>
      </c>
      <c r="C6" s="104">
        <v>24</v>
      </c>
      <c r="D6" s="104">
        <v>6</v>
      </c>
      <c r="E6" s="104">
        <v>6</v>
      </c>
      <c r="F6" s="104">
        <v>0</v>
      </c>
      <c r="G6" s="104">
        <v>0</v>
      </c>
      <c r="H6" s="104">
        <f>Table6[[#This Row],[Gas Real]]*years_per_round</f>
        <v>120</v>
      </c>
      <c r="I6" s="104">
        <f>Table6[[#This Row],[Biomasse Real]]*years_per_round</f>
        <v>30</v>
      </c>
      <c r="J6" s="104">
        <f>Table6[[#This Row],[Fernwärme Real]]*years_per_round</f>
        <v>30</v>
      </c>
      <c r="K6" s="104">
        <f>Table6[[#This Row],[Grünes Gas Real]]*years_per_round</f>
        <v>0</v>
      </c>
      <c r="L6" s="104">
        <f>Table6[[#This Row],[Wärmepumpe Real]]*years_per_round</f>
        <v>0</v>
      </c>
    </row>
    <row r="7" spans="1:12" ht="22.5" customHeight="1" x14ac:dyDescent="0.25">
      <c r="A7" s="104">
        <v>5</v>
      </c>
      <c r="B7" s="104">
        <v>100</v>
      </c>
      <c r="C7" s="104">
        <v>20</v>
      </c>
      <c r="D7" s="104">
        <v>5</v>
      </c>
      <c r="E7" s="104">
        <v>5</v>
      </c>
      <c r="F7" s="104">
        <v>0</v>
      </c>
      <c r="G7" s="104">
        <v>0</v>
      </c>
      <c r="H7" s="104">
        <f>Table6[[#This Row],[Gas Real]]*years_per_round</f>
        <v>100</v>
      </c>
      <c r="I7" s="104">
        <f>Table6[[#This Row],[Biomasse Real]]*years_per_round</f>
        <v>25</v>
      </c>
      <c r="J7" s="104">
        <f>Table6[[#This Row],[Fernwärme Real]]*years_per_round</f>
        <v>25</v>
      </c>
      <c r="K7" s="104">
        <f>Table6[[#This Row],[Grünes Gas Real]]*years_per_round</f>
        <v>0</v>
      </c>
      <c r="L7" s="104">
        <f>Table6[[#This Row],[Wärmepumpe Real]]*years_per_round</f>
        <v>0</v>
      </c>
    </row>
    <row r="8" spans="1:12" ht="22.5" customHeight="1" x14ac:dyDescent="0.25">
      <c r="A8" s="104">
        <v>6</v>
      </c>
      <c r="B8" s="104">
        <v>80</v>
      </c>
      <c r="C8" s="104">
        <v>16</v>
      </c>
      <c r="D8" s="104">
        <v>4</v>
      </c>
      <c r="E8" s="104">
        <v>4</v>
      </c>
      <c r="F8" s="104">
        <v>0</v>
      </c>
      <c r="G8" s="104">
        <v>0</v>
      </c>
      <c r="H8" s="104">
        <f>Table6[[#This Row],[Gas Real]]*years_per_round</f>
        <v>80</v>
      </c>
      <c r="I8" s="104">
        <f>Table6[[#This Row],[Biomasse Real]]*years_per_round</f>
        <v>20</v>
      </c>
      <c r="J8" s="104">
        <f>Table6[[#This Row],[Fernwärme Real]]*years_per_round</f>
        <v>20</v>
      </c>
      <c r="K8" s="104">
        <f>Table6[[#This Row],[Grünes Gas Real]]*years_per_round</f>
        <v>0</v>
      </c>
      <c r="L8" s="104">
        <f>Table6[[#This Row],[Wärmepumpe Real]]*years_per_round</f>
        <v>0</v>
      </c>
    </row>
    <row r="9" spans="1:12" ht="22.5" customHeight="1" x14ac:dyDescent="0.25">
      <c r="A9" s="104">
        <v>7</v>
      </c>
      <c r="B9" s="104">
        <v>60</v>
      </c>
      <c r="C9" s="104">
        <v>12</v>
      </c>
      <c r="D9" s="104">
        <v>3</v>
      </c>
      <c r="E9" s="104">
        <v>3</v>
      </c>
      <c r="F9" s="104">
        <v>0</v>
      </c>
      <c r="G9" s="104">
        <v>0</v>
      </c>
      <c r="H9" s="104">
        <f>Table6[[#This Row],[Gas Real]]*years_per_round</f>
        <v>60</v>
      </c>
      <c r="I9" s="104">
        <f>Table6[[#This Row],[Biomasse Real]]*years_per_round</f>
        <v>15</v>
      </c>
      <c r="J9" s="104">
        <f>Table6[[#This Row],[Fernwärme Real]]*years_per_round</f>
        <v>15</v>
      </c>
      <c r="K9" s="104">
        <f>Table6[[#This Row],[Grünes Gas Real]]*years_per_round</f>
        <v>0</v>
      </c>
      <c r="L9" s="104">
        <f>Table6[[#This Row],[Wärmepumpe Real]]*years_per_round</f>
        <v>0</v>
      </c>
    </row>
    <row r="10" spans="1:12" ht="22.5" customHeight="1" x14ac:dyDescent="0.25">
      <c r="A10" s="104">
        <v>8</v>
      </c>
      <c r="B10" s="104">
        <v>40</v>
      </c>
      <c r="C10" s="104">
        <v>8</v>
      </c>
      <c r="D10" s="104">
        <v>2</v>
      </c>
      <c r="E10" s="104">
        <v>2</v>
      </c>
      <c r="F10" s="104">
        <v>0</v>
      </c>
      <c r="G10" s="104">
        <v>0</v>
      </c>
      <c r="H10" s="104">
        <f>Table6[[#This Row],[Gas Real]]*years_per_round</f>
        <v>40</v>
      </c>
      <c r="I10" s="104">
        <f>Table6[[#This Row],[Biomasse Real]]*years_per_round</f>
        <v>10</v>
      </c>
      <c r="J10" s="104">
        <f>Table6[[#This Row],[Fernwärme Real]]*years_per_round</f>
        <v>10</v>
      </c>
      <c r="K10" s="104">
        <f>Table6[[#This Row],[Grünes Gas Real]]*years_per_round</f>
        <v>0</v>
      </c>
      <c r="L10" s="104">
        <f>Table6[[#This Row],[Wärmepumpe Real]]*years_per_round</f>
        <v>0</v>
      </c>
    </row>
    <row r="11" spans="1:12" ht="22.5" customHeight="1" x14ac:dyDescent="0.25">
      <c r="A11" s="104">
        <v>9</v>
      </c>
      <c r="B11" s="104">
        <v>20</v>
      </c>
      <c r="C11" s="104">
        <v>4</v>
      </c>
      <c r="D11" s="104">
        <v>1</v>
      </c>
      <c r="E11" s="104">
        <v>1</v>
      </c>
      <c r="F11" s="104">
        <v>0</v>
      </c>
      <c r="G11" s="104">
        <v>0</v>
      </c>
      <c r="H11" s="104">
        <f>Table6[[#This Row],[Gas Real]]*years_per_round</f>
        <v>20</v>
      </c>
      <c r="I11" s="104">
        <f>Table6[[#This Row],[Biomasse Real]]*years_per_round</f>
        <v>5</v>
      </c>
      <c r="J11" s="104">
        <f>Table6[[#This Row],[Fernwärme Real]]*years_per_round</f>
        <v>5</v>
      </c>
      <c r="K11" s="104">
        <f>Table6[[#This Row],[Grünes Gas Real]]*years_per_round</f>
        <v>0</v>
      </c>
      <c r="L11" s="104">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3" t="s">
        <v>292</v>
      </c>
      <c r="B1" s="103" t="s">
        <v>317</v>
      </c>
      <c r="C1" s="127" t="s">
        <v>312</v>
      </c>
      <c r="D1" s="127" t="s">
        <v>313</v>
      </c>
      <c r="E1" s="127" t="s">
        <v>314</v>
      </c>
      <c r="F1" s="127" t="s">
        <v>315</v>
      </c>
      <c r="G1" s="127" t="s">
        <v>316</v>
      </c>
      <c r="H1" s="121" t="s">
        <v>293</v>
      </c>
      <c r="I1" s="121" t="s">
        <v>294</v>
      </c>
      <c r="J1" s="121" t="s">
        <v>295</v>
      </c>
      <c r="K1" s="121" t="s">
        <v>67</v>
      </c>
      <c r="L1" s="121" t="s">
        <v>296</v>
      </c>
    </row>
    <row r="2" spans="1:12" ht="22.5" customHeight="1" x14ac:dyDescent="0.25">
      <c r="A2" s="104">
        <v>0</v>
      </c>
      <c r="B2" s="104">
        <v>200</v>
      </c>
      <c r="C2" s="105">
        <f>Table6_2[[#This Row],[HWB]]*'Mapping RealwerteSpielwerte'!$B$23</f>
        <v>20</v>
      </c>
      <c r="D2" s="105">
        <f>Table6_2[[#This Row],[HWB]]*'Mapping RealwerteSpielwerte'!$B$24</f>
        <v>16</v>
      </c>
      <c r="E2" s="105">
        <f>Table6_2[[#This Row],[HWB]]*'Mapping RealwerteSpielwerte'!$B$25</f>
        <v>40</v>
      </c>
      <c r="F2" s="105">
        <f>Table6_2[[#This Row],[HWB]]*'Mapping RealwerteSpielwerte'!$B$26</f>
        <v>100</v>
      </c>
      <c r="G2" s="104">
        <f>0</f>
        <v>0</v>
      </c>
      <c r="H2" s="110">
        <f>-Table6_2[[#This Row],[Gas Real]]*'Mapping RealwerteSpielwerte'!$C$23+heizkosten_baseline</f>
        <v>-2</v>
      </c>
      <c r="I2" s="110">
        <f>-Table6_2[[#This Row],[Biomasse Real]]*'Mapping RealwerteSpielwerte'!$C$24+heizkosten_baseline</f>
        <v>-1.2000000000000002</v>
      </c>
      <c r="J2" s="110">
        <f>-Table6_2[[#This Row],[Fernwärme Real]]*'Mapping RealwerteSpielwerte'!$C$25+heizkosten_baseline</f>
        <v>-6</v>
      </c>
      <c r="K2" s="110">
        <f>-Table6_2[[#This Row],[Grünes Gas Real]]*'Mapping RealwerteSpielwerte'!$C$26+heizkosten_baseline</f>
        <v>-18</v>
      </c>
      <c r="L2" s="110">
        <f>-Table6_2[[#This Row],[Wärmepumpe Real]]*'Mapping RealwerteSpielwerte'!$C$27+heizkosten_baseline</f>
        <v>2</v>
      </c>
    </row>
    <row r="3" spans="1:12" ht="22.5" customHeight="1" x14ac:dyDescent="0.25">
      <c r="A3" s="104">
        <v>1</v>
      </c>
      <c r="B3" s="104">
        <v>180</v>
      </c>
      <c r="C3" s="105">
        <f>Table6_2[[#This Row],[HWB]]*'Mapping RealwerteSpielwerte'!$B$23</f>
        <v>18</v>
      </c>
      <c r="D3" s="105">
        <f>Table6_2[[#This Row],[HWB]]*'Mapping RealwerteSpielwerte'!$B$24</f>
        <v>14.4</v>
      </c>
      <c r="E3" s="105">
        <f>Table6_2[[#This Row],[HWB]]*'Mapping RealwerteSpielwerte'!$B$25</f>
        <v>36</v>
      </c>
      <c r="F3" s="105">
        <f>Table6_2[[#This Row],[HWB]]*'Mapping RealwerteSpielwerte'!$B$26</f>
        <v>90</v>
      </c>
      <c r="G3" s="104">
        <f>0</f>
        <v>0</v>
      </c>
      <c r="H3" s="110">
        <f>-Table6_2[[#This Row],[Gas Real]]*'Mapping RealwerteSpielwerte'!$C$23+heizkosten_baseline</f>
        <v>-1.6</v>
      </c>
      <c r="I3" s="110">
        <f>-Table6_2[[#This Row],[Biomasse Real]]*'Mapping RealwerteSpielwerte'!$C$24+heizkosten_baseline</f>
        <v>-0.88000000000000034</v>
      </c>
      <c r="J3" s="110">
        <f>-Table6_2[[#This Row],[Fernwärme Real]]*'Mapping RealwerteSpielwerte'!$C$25+heizkosten_baseline</f>
        <v>-5.2</v>
      </c>
      <c r="K3" s="110">
        <f>-Table6_2[[#This Row],[Grünes Gas Real]]*'Mapping RealwerteSpielwerte'!$C$26+heizkosten_baseline</f>
        <v>-16</v>
      </c>
      <c r="L3" s="110">
        <f>-Table6_2[[#This Row],[Wärmepumpe Real]]*'Mapping RealwerteSpielwerte'!$C$27+heizkosten_baseline</f>
        <v>2</v>
      </c>
    </row>
    <row r="4" spans="1:12" ht="22.5" customHeight="1" x14ac:dyDescent="0.25">
      <c r="A4" s="104">
        <v>2</v>
      </c>
      <c r="B4" s="104">
        <v>160</v>
      </c>
      <c r="C4" s="105">
        <f>Table6_2[[#This Row],[HWB]]*'Mapping RealwerteSpielwerte'!$B$23</f>
        <v>16</v>
      </c>
      <c r="D4" s="105">
        <f>Table6_2[[#This Row],[HWB]]*'Mapping RealwerteSpielwerte'!$B$24</f>
        <v>12.8</v>
      </c>
      <c r="E4" s="105">
        <f>Table6_2[[#This Row],[HWB]]*'Mapping RealwerteSpielwerte'!$B$25</f>
        <v>32</v>
      </c>
      <c r="F4" s="105">
        <f>Table6_2[[#This Row],[HWB]]*'Mapping RealwerteSpielwerte'!$B$26</f>
        <v>80</v>
      </c>
      <c r="G4" s="104">
        <f>0</f>
        <v>0</v>
      </c>
      <c r="H4" s="110">
        <f>-Table6_2[[#This Row],[Gas Real]]*'Mapping RealwerteSpielwerte'!$C$23+heizkosten_baseline</f>
        <v>-1.2000000000000002</v>
      </c>
      <c r="I4" s="110">
        <f>-Table6_2[[#This Row],[Biomasse Real]]*'Mapping RealwerteSpielwerte'!$C$24+heizkosten_baseline</f>
        <v>-0.5600000000000005</v>
      </c>
      <c r="J4" s="110">
        <f>-Table6_2[[#This Row],[Fernwärme Real]]*'Mapping RealwerteSpielwerte'!$C$25+heizkosten_baseline</f>
        <v>-4.4000000000000004</v>
      </c>
      <c r="K4" s="110">
        <f>-Table6_2[[#This Row],[Grünes Gas Real]]*'Mapping RealwerteSpielwerte'!$C$26+heizkosten_baseline</f>
        <v>-14</v>
      </c>
      <c r="L4" s="110">
        <f>-Table6_2[[#This Row],[Wärmepumpe Real]]*'Mapping RealwerteSpielwerte'!$C$27+heizkosten_baseline</f>
        <v>2</v>
      </c>
    </row>
    <row r="5" spans="1:12" ht="22.5" customHeight="1" x14ac:dyDescent="0.25">
      <c r="A5" s="104">
        <v>3</v>
      </c>
      <c r="B5" s="104">
        <v>140</v>
      </c>
      <c r="C5" s="105">
        <f>Table6_2[[#This Row],[HWB]]*'Mapping RealwerteSpielwerte'!$B$23</f>
        <v>14</v>
      </c>
      <c r="D5" s="105">
        <f>Table6_2[[#This Row],[HWB]]*'Mapping RealwerteSpielwerte'!$B$24</f>
        <v>11.200000000000001</v>
      </c>
      <c r="E5" s="105">
        <f>Table6_2[[#This Row],[HWB]]*'Mapping RealwerteSpielwerte'!$B$25</f>
        <v>28</v>
      </c>
      <c r="F5" s="105">
        <f>Table6_2[[#This Row],[HWB]]*'Mapping RealwerteSpielwerte'!$B$26</f>
        <v>70</v>
      </c>
      <c r="G5" s="104">
        <f>0</f>
        <v>0</v>
      </c>
      <c r="H5" s="110">
        <f>-Table6_2[[#This Row],[Gas Real]]*'Mapping RealwerteSpielwerte'!$C$23+heizkosten_baseline</f>
        <v>-0.80000000000000027</v>
      </c>
      <c r="I5" s="110">
        <f>-Table6_2[[#This Row],[Biomasse Real]]*'Mapping RealwerteSpielwerte'!$C$24+heizkosten_baseline</f>
        <v>-0.24000000000000021</v>
      </c>
      <c r="J5" s="110">
        <f>-Table6_2[[#This Row],[Fernwärme Real]]*'Mapping RealwerteSpielwerte'!$C$25+heizkosten_baseline</f>
        <v>-3.6000000000000005</v>
      </c>
      <c r="K5" s="110">
        <f>-Table6_2[[#This Row],[Grünes Gas Real]]*'Mapping RealwerteSpielwerte'!$C$26+heizkosten_baseline</f>
        <v>-12</v>
      </c>
      <c r="L5" s="110">
        <f>-Table6_2[[#This Row],[Wärmepumpe Real]]*'Mapping RealwerteSpielwerte'!$C$27+heizkosten_baseline</f>
        <v>2</v>
      </c>
    </row>
    <row r="6" spans="1:12" ht="22.5" customHeight="1" x14ac:dyDescent="0.25">
      <c r="A6" s="104">
        <v>4</v>
      </c>
      <c r="B6" s="104">
        <v>120</v>
      </c>
      <c r="C6" s="105">
        <f>Table6_2[[#This Row],[HWB]]*'Mapping RealwerteSpielwerte'!$B$23</f>
        <v>12</v>
      </c>
      <c r="D6" s="105">
        <f>Table6_2[[#This Row],[HWB]]*'Mapping RealwerteSpielwerte'!$B$24</f>
        <v>9.6</v>
      </c>
      <c r="E6" s="105">
        <f>Table6_2[[#This Row],[HWB]]*'Mapping RealwerteSpielwerte'!$B$25</f>
        <v>24</v>
      </c>
      <c r="F6" s="105">
        <f>Table6_2[[#This Row],[HWB]]*'Mapping RealwerteSpielwerte'!$B$26</f>
        <v>60</v>
      </c>
      <c r="G6" s="104">
        <f>0</f>
        <v>0</v>
      </c>
      <c r="H6" s="110">
        <f>-Table6_2[[#This Row],[Gas Real]]*'Mapping RealwerteSpielwerte'!$C$23+heizkosten_baseline</f>
        <v>-0.40000000000000036</v>
      </c>
      <c r="I6" s="110">
        <f>-Table6_2[[#This Row],[Biomasse Real]]*'Mapping RealwerteSpielwerte'!$C$24+heizkosten_baseline</f>
        <v>8.0000000000000071E-2</v>
      </c>
      <c r="J6" s="110">
        <f>-Table6_2[[#This Row],[Fernwärme Real]]*'Mapping RealwerteSpielwerte'!$C$25+heizkosten_baseline</f>
        <v>-2.8000000000000007</v>
      </c>
      <c r="K6" s="110">
        <f>-Table6_2[[#This Row],[Grünes Gas Real]]*'Mapping RealwerteSpielwerte'!$C$26+heizkosten_baseline</f>
        <v>-10</v>
      </c>
      <c r="L6" s="110">
        <f>-Table6_2[[#This Row],[Wärmepumpe Real]]*'Mapping RealwerteSpielwerte'!$C$27+heizkosten_baseline</f>
        <v>2</v>
      </c>
    </row>
    <row r="7" spans="1:12" ht="22.5" customHeight="1" x14ac:dyDescent="0.25">
      <c r="A7" s="104">
        <v>5</v>
      </c>
      <c r="B7" s="104">
        <v>100</v>
      </c>
      <c r="C7" s="105">
        <f>Table6_2[[#This Row],[HWB]]*'Mapping RealwerteSpielwerte'!$B$23</f>
        <v>10</v>
      </c>
      <c r="D7" s="105">
        <f>Table6_2[[#This Row],[HWB]]*'Mapping RealwerteSpielwerte'!$B$24</f>
        <v>8</v>
      </c>
      <c r="E7" s="105">
        <f>Table6_2[[#This Row],[HWB]]*'Mapping RealwerteSpielwerte'!$B$25</f>
        <v>20</v>
      </c>
      <c r="F7" s="105">
        <f>Table6_2[[#This Row],[HWB]]*'Mapping RealwerteSpielwerte'!$B$26</f>
        <v>50</v>
      </c>
      <c r="G7" s="104">
        <f>0</f>
        <v>0</v>
      </c>
      <c r="H7" s="110">
        <f>-Table6_2[[#This Row],[Gas Real]]*'Mapping RealwerteSpielwerte'!$C$23+heizkosten_baseline</f>
        <v>0</v>
      </c>
      <c r="I7" s="110">
        <f>-Table6_2[[#This Row],[Biomasse Real]]*'Mapping RealwerteSpielwerte'!$C$24+heizkosten_baseline</f>
        <v>0.39999999999999991</v>
      </c>
      <c r="J7" s="110">
        <f>-Table6_2[[#This Row],[Fernwärme Real]]*'Mapping RealwerteSpielwerte'!$C$25+heizkosten_baseline</f>
        <v>-2</v>
      </c>
      <c r="K7" s="110">
        <f>-Table6_2[[#This Row],[Grünes Gas Real]]*'Mapping RealwerteSpielwerte'!$C$26+heizkosten_baseline</f>
        <v>-8</v>
      </c>
      <c r="L7" s="110">
        <f>-Table6_2[[#This Row],[Wärmepumpe Real]]*'Mapping RealwerteSpielwerte'!$C$27+heizkosten_baseline</f>
        <v>2</v>
      </c>
    </row>
    <row r="8" spans="1:12" ht="22.5" customHeight="1" x14ac:dyDescent="0.25">
      <c r="A8" s="104">
        <v>6</v>
      </c>
      <c r="B8" s="104">
        <v>80</v>
      </c>
      <c r="C8" s="105">
        <f>Table6_2[[#This Row],[HWB]]*'Mapping RealwerteSpielwerte'!$B$23</f>
        <v>8</v>
      </c>
      <c r="D8" s="105">
        <f>Table6_2[[#This Row],[HWB]]*'Mapping RealwerteSpielwerte'!$B$24</f>
        <v>6.4</v>
      </c>
      <c r="E8" s="105">
        <f>Table6_2[[#This Row],[HWB]]*'Mapping RealwerteSpielwerte'!$B$25</f>
        <v>16</v>
      </c>
      <c r="F8" s="105">
        <f>Table6_2[[#This Row],[HWB]]*'Mapping RealwerteSpielwerte'!$B$26</f>
        <v>40</v>
      </c>
      <c r="G8" s="104">
        <f>0</f>
        <v>0</v>
      </c>
      <c r="H8" s="110">
        <f>-Table6_2[[#This Row],[Gas Real]]*'Mapping RealwerteSpielwerte'!$C$23+heizkosten_baseline</f>
        <v>0.39999999999999991</v>
      </c>
      <c r="I8" s="110">
        <f>-Table6_2[[#This Row],[Biomasse Real]]*'Mapping RealwerteSpielwerte'!$C$24+heizkosten_baseline</f>
        <v>0.71999999999999975</v>
      </c>
      <c r="J8" s="110">
        <f>-Table6_2[[#This Row],[Fernwärme Real]]*'Mapping RealwerteSpielwerte'!$C$25+heizkosten_baseline</f>
        <v>-1.2000000000000002</v>
      </c>
      <c r="K8" s="110">
        <f>-Table6_2[[#This Row],[Grünes Gas Real]]*'Mapping RealwerteSpielwerte'!$C$26+heizkosten_baseline</f>
        <v>-6</v>
      </c>
      <c r="L8" s="110">
        <f>-Table6_2[[#This Row],[Wärmepumpe Real]]*'Mapping RealwerteSpielwerte'!$C$27+heizkosten_baseline</f>
        <v>2</v>
      </c>
    </row>
    <row r="9" spans="1:12" ht="22.5" customHeight="1" x14ac:dyDescent="0.25">
      <c r="A9" s="104">
        <v>7</v>
      </c>
      <c r="B9" s="104">
        <v>60</v>
      </c>
      <c r="C9" s="105">
        <f>Table6_2[[#This Row],[HWB]]*'Mapping RealwerteSpielwerte'!$B$23</f>
        <v>6</v>
      </c>
      <c r="D9" s="105">
        <f>Table6_2[[#This Row],[HWB]]*'Mapping RealwerteSpielwerte'!$B$24</f>
        <v>4.8</v>
      </c>
      <c r="E9" s="105">
        <f>Table6_2[[#This Row],[HWB]]*'Mapping RealwerteSpielwerte'!$B$25</f>
        <v>12</v>
      </c>
      <c r="F9" s="105">
        <f>Table6_2[[#This Row],[HWB]]*'Mapping RealwerteSpielwerte'!$B$26</f>
        <v>30</v>
      </c>
      <c r="G9" s="104">
        <f>0</f>
        <v>0</v>
      </c>
      <c r="H9" s="110">
        <f>-Table6_2[[#This Row],[Gas Real]]*'Mapping RealwerteSpielwerte'!$C$23+heizkosten_baseline</f>
        <v>0.79999999999999982</v>
      </c>
      <c r="I9" s="110">
        <f>-Table6_2[[#This Row],[Biomasse Real]]*'Mapping RealwerteSpielwerte'!$C$24+heizkosten_baseline</f>
        <v>1.04</v>
      </c>
      <c r="J9" s="110">
        <f>-Table6_2[[#This Row],[Fernwärme Real]]*'Mapping RealwerteSpielwerte'!$C$25+heizkosten_baseline</f>
        <v>-0.40000000000000036</v>
      </c>
      <c r="K9" s="110">
        <f>-Table6_2[[#This Row],[Grünes Gas Real]]*'Mapping RealwerteSpielwerte'!$C$26+heizkosten_baseline</f>
        <v>-4</v>
      </c>
      <c r="L9" s="110">
        <f>-Table6_2[[#This Row],[Wärmepumpe Real]]*'Mapping RealwerteSpielwerte'!$C$27+heizkosten_baseline</f>
        <v>2</v>
      </c>
    </row>
    <row r="10" spans="1:12" ht="22.5" customHeight="1" x14ac:dyDescent="0.25">
      <c r="A10" s="104">
        <v>8</v>
      </c>
      <c r="B10" s="104">
        <v>40</v>
      </c>
      <c r="C10" s="105">
        <f>Table6_2[[#This Row],[HWB]]*'Mapping RealwerteSpielwerte'!$B$23</f>
        <v>4</v>
      </c>
      <c r="D10" s="105">
        <f>Table6_2[[#This Row],[HWB]]*'Mapping RealwerteSpielwerte'!$B$24</f>
        <v>3.2</v>
      </c>
      <c r="E10" s="105">
        <f>Table6_2[[#This Row],[HWB]]*'Mapping RealwerteSpielwerte'!$B$25</f>
        <v>8</v>
      </c>
      <c r="F10" s="105">
        <f>Table6_2[[#This Row],[HWB]]*'Mapping RealwerteSpielwerte'!$B$26</f>
        <v>20</v>
      </c>
      <c r="G10" s="104">
        <f>0</f>
        <v>0</v>
      </c>
      <c r="H10" s="110">
        <f>-Table6_2[[#This Row],[Gas Real]]*'Mapping RealwerteSpielwerte'!$C$23+heizkosten_baseline</f>
        <v>1.2</v>
      </c>
      <c r="I10" s="110">
        <f>-Table6_2[[#This Row],[Biomasse Real]]*'Mapping RealwerteSpielwerte'!$C$24+heizkosten_baseline</f>
        <v>1.3599999999999999</v>
      </c>
      <c r="J10" s="110">
        <f>-Table6_2[[#This Row],[Fernwärme Real]]*'Mapping RealwerteSpielwerte'!$C$25+heizkosten_baseline</f>
        <v>0.39999999999999991</v>
      </c>
      <c r="K10" s="110">
        <f>-Table6_2[[#This Row],[Grünes Gas Real]]*'Mapping RealwerteSpielwerte'!$C$26+heizkosten_baseline</f>
        <v>-2</v>
      </c>
      <c r="L10" s="110">
        <f>-Table6_2[[#This Row],[Wärmepumpe Real]]*'Mapping RealwerteSpielwerte'!$C$27+heizkosten_baseline</f>
        <v>2</v>
      </c>
    </row>
    <row r="11" spans="1:12" ht="22.5" customHeight="1" x14ac:dyDescent="0.25">
      <c r="A11" s="104">
        <v>9</v>
      </c>
      <c r="B11" s="104">
        <v>20</v>
      </c>
      <c r="C11" s="105">
        <f>Table6_2[[#This Row],[HWB]]*'Mapping RealwerteSpielwerte'!$B$23</f>
        <v>2</v>
      </c>
      <c r="D11" s="105">
        <f>Table6_2[[#This Row],[HWB]]*'Mapping RealwerteSpielwerte'!$B$24</f>
        <v>1.6</v>
      </c>
      <c r="E11" s="105">
        <f>Table6_2[[#This Row],[HWB]]*'Mapping RealwerteSpielwerte'!$B$25</f>
        <v>4</v>
      </c>
      <c r="F11" s="105">
        <f>Table6_2[[#This Row],[HWB]]*'Mapping RealwerteSpielwerte'!$B$26</f>
        <v>10</v>
      </c>
      <c r="G11" s="104">
        <f>0</f>
        <v>0</v>
      </c>
      <c r="H11" s="110">
        <f>-Table6_2[[#This Row],[Gas Real]]*'Mapping RealwerteSpielwerte'!$C$23+heizkosten_baseline</f>
        <v>1.6</v>
      </c>
      <c r="I11" s="110">
        <f>-Table6_2[[#This Row],[Biomasse Real]]*'Mapping RealwerteSpielwerte'!$C$24+heizkosten_baseline</f>
        <v>1.68</v>
      </c>
      <c r="J11" s="110">
        <f>-Table6_2[[#This Row],[Fernwärme Real]]*'Mapping RealwerteSpielwerte'!$C$25+heizkosten_baseline</f>
        <v>1.2</v>
      </c>
      <c r="K11" s="110">
        <f>-Table6_2[[#This Row],[Grünes Gas Real]]*'Mapping RealwerteSpielwerte'!$C$26+heizkosten_baseline</f>
        <v>0</v>
      </c>
      <c r="L11" s="110">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defaultColWidth="12.54296875" defaultRowHeight="15.75" customHeight="1" x14ac:dyDescent="0.25"/>
  <cols>
    <col min="4" max="8" width="13.1796875" customWidth="1"/>
  </cols>
  <sheetData>
    <row r="1" spans="1:8" ht="22.5" customHeight="1" x14ac:dyDescent="0.25">
      <c r="A1" s="103" t="s">
        <v>292</v>
      </c>
      <c r="B1" s="103" t="s">
        <v>317</v>
      </c>
      <c r="C1" s="103" t="s">
        <v>329</v>
      </c>
      <c r="D1" s="103" t="s">
        <v>297</v>
      </c>
      <c r="E1" s="103" t="s">
        <v>298</v>
      </c>
      <c r="F1" s="103" t="s">
        <v>299</v>
      </c>
      <c r="G1" s="103" t="s">
        <v>300</v>
      </c>
      <c r="H1" s="103" t="s">
        <v>301</v>
      </c>
    </row>
    <row r="2" spans="1:8" ht="22.5" customHeight="1" x14ac:dyDescent="0.25">
      <c r="A2" s="104">
        <v>0</v>
      </c>
      <c r="B2" s="104">
        <v>180</v>
      </c>
      <c r="C2" s="133">
        <f>Table7[[#This Row],[HWB]]/real_zu_spiel_strombedarf/COP_0</f>
        <v>36</v>
      </c>
      <c r="D2" s="133">
        <f>Table7[[#This Row],[HWB]]/real_zu_spiel_strombedarf/COP_1</f>
        <v>18</v>
      </c>
      <c r="E2" s="133">
        <f>Table7[[#This Row],[HWB]]/real_zu_spiel_strombedarf/COP_2</f>
        <v>14.4</v>
      </c>
      <c r="F2" s="133">
        <f>Table7[[#This Row],[HWB]]/real_zu_spiel_strombedarf/COP_3</f>
        <v>10.801080108010801</v>
      </c>
      <c r="G2" s="133">
        <f>Table7[[#This Row],[HWB]]/real_zu_spiel_strombedarf/COP_4</f>
        <v>7.9200079200079205</v>
      </c>
      <c r="H2" s="133">
        <f>Table7[[#This Row],[HWB]]/real_zu_spiel_strombedarf/COP_5</f>
        <v>5.4054054054054053</v>
      </c>
    </row>
    <row r="3" spans="1:8" ht="22.5" customHeight="1" x14ac:dyDescent="0.25">
      <c r="A3" s="104">
        <v>1</v>
      </c>
      <c r="B3" s="104">
        <v>160</v>
      </c>
      <c r="C3" s="133">
        <f>Table7[[#This Row],[HWB]]/real_zu_spiel_strombedarf/COP_0</f>
        <v>32</v>
      </c>
      <c r="D3" s="133">
        <f>Table7[[#This Row],[HWB]]/real_zu_spiel_strombedarf/COP_1</f>
        <v>16</v>
      </c>
      <c r="E3" s="133">
        <f>Table7[[#This Row],[HWB]]/real_zu_spiel_strombedarf/COP_2</f>
        <v>12.8</v>
      </c>
      <c r="F3" s="133">
        <f>Table7[[#This Row],[HWB]]/real_zu_spiel_strombedarf/COP_3</f>
        <v>9.6009600960096009</v>
      </c>
      <c r="G3" s="133">
        <f>Table7[[#This Row],[HWB]]/real_zu_spiel_strombedarf/COP_4</f>
        <v>7.0400070400070405</v>
      </c>
      <c r="H3" s="133">
        <f>Table7[[#This Row],[HWB]]/real_zu_spiel_strombedarf/COP_5</f>
        <v>4.8048048048048049</v>
      </c>
    </row>
    <row r="4" spans="1:8" ht="22.5" customHeight="1" x14ac:dyDescent="0.25">
      <c r="A4" s="104">
        <v>2</v>
      </c>
      <c r="B4" s="104">
        <v>140</v>
      </c>
      <c r="C4" s="133">
        <f>Table7[[#This Row],[HWB]]/real_zu_spiel_strombedarf/COP_0</f>
        <v>28</v>
      </c>
      <c r="D4" s="133">
        <f>Table7[[#This Row],[HWB]]/real_zu_spiel_strombedarf/COP_1</f>
        <v>14</v>
      </c>
      <c r="E4" s="133">
        <f>Table7[[#This Row],[HWB]]/real_zu_spiel_strombedarf/COP_2</f>
        <v>11.2</v>
      </c>
      <c r="F4" s="133">
        <f>Table7[[#This Row],[HWB]]/real_zu_spiel_strombedarf/COP_3</f>
        <v>8.4008400840084008</v>
      </c>
      <c r="G4" s="133">
        <f>Table7[[#This Row],[HWB]]/real_zu_spiel_strombedarf/COP_4</f>
        <v>6.1600061600061604</v>
      </c>
      <c r="H4" s="133">
        <f>Table7[[#This Row],[HWB]]/real_zu_spiel_strombedarf/COP_5</f>
        <v>4.2042042042042045</v>
      </c>
    </row>
    <row r="5" spans="1:8" ht="22.5" customHeight="1" x14ac:dyDescent="0.25">
      <c r="A5" s="104">
        <v>3</v>
      </c>
      <c r="B5" s="104">
        <v>120</v>
      </c>
      <c r="C5" s="133">
        <f>Table7[[#This Row],[HWB]]/real_zu_spiel_strombedarf/COP_0</f>
        <v>24</v>
      </c>
      <c r="D5" s="133">
        <f>Table7[[#This Row],[HWB]]/real_zu_spiel_strombedarf/COP_1</f>
        <v>12</v>
      </c>
      <c r="E5" s="133">
        <f>Table7[[#This Row],[HWB]]/real_zu_spiel_strombedarf/COP_2</f>
        <v>9.6</v>
      </c>
      <c r="F5" s="133">
        <f>Table7[[#This Row],[HWB]]/real_zu_spiel_strombedarf/COP_3</f>
        <v>7.2007200720072007</v>
      </c>
      <c r="G5" s="133">
        <f>Table7[[#This Row],[HWB]]/real_zu_spiel_strombedarf/COP_4</f>
        <v>5.2800052800052804</v>
      </c>
      <c r="H5" s="133">
        <f>Table7[[#This Row],[HWB]]/real_zu_spiel_strombedarf/COP_5</f>
        <v>3.6036036036036037</v>
      </c>
    </row>
    <row r="6" spans="1:8" ht="22.5" customHeight="1" x14ac:dyDescent="0.25">
      <c r="A6" s="104">
        <v>4</v>
      </c>
      <c r="B6" s="104">
        <v>100</v>
      </c>
      <c r="C6" s="133">
        <f>Table7[[#This Row],[HWB]]/real_zu_spiel_strombedarf/COP_0</f>
        <v>20</v>
      </c>
      <c r="D6" s="133">
        <f>Table7[[#This Row],[HWB]]/real_zu_spiel_strombedarf/COP_1</f>
        <v>10</v>
      </c>
      <c r="E6" s="133">
        <f>Table7[[#This Row],[HWB]]/real_zu_spiel_strombedarf/COP_2</f>
        <v>8</v>
      </c>
      <c r="F6" s="133">
        <f>Table7[[#This Row],[HWB]]/real_zu_spiel_strombedarf/COP_3</f>
        <v>6.0006000600060005</v>
      </c>
      <c r="G6" s="133">
        <f>Table7[[#This Row],[HWB]]/real_zu_spiel_strombedarf/COP_4</f>
        <v>4.4000044000044003</v>
      </c>
      <c r="H6" s="133">
        <f>Table7[[#This Row],[HWB]]/real_zu_spiel_strombedarf/COP_5</f>
        <v>3.0030030030030028</v>
      </c>
    </row>
    <row r="7" spans="1:8" ht="22.5" customHeight="1" x14ac:dyDescent="0.25">
      <c r="A7" s="104">
        <v>5</v>
      </c>
      <c r="B7" s="104">
        <v>80</v>
      </c>
      <c r="C7" s="133">
        <f>Table7[[#This Row],[HWB]]/real_zu_spiel_strombedarf/COP_0</f>
        <v>16</v>
      </c>
      <c r="D7" s="133">
        <f>Table7[[#This Row],[HWB]]/real_zu_spiel_strombedarf/COP_1</f>
        <v>8</v>
      </c>
      <c r="E7" s="133">
        <f>Table7[[#This Row],[HWB]]/real_zu_spiel_strombedarf/COP_2</f>
        <v>6.4</v>
      </c>
      <c r="F7" s="133">
        <f>Table7[[#This Row],[HWB]]/real_zu_spiel_strombedarf/COP_3</f>
        <v>4.8004800480048004</v>
      </c>
      <c r="G7" s="133">
        <f>Table7[[#This Row],[HWB]]/real_zu_spiel_strombedarf/COP_4</f>
        <v>3.5200035200035202</v>
      </c>
      <c r="H7" s="133">
        <f>Table7[[#This Row],[HWB]]/real_zu_spiel_strombedarf/COP_5</f>
        <v>2.4024024024024024</v>
      </c>
    </row>
    <row r="8" spans="1:8" ht="22.5" customHeight="1" x14ac:dyDescent="0.25">
      <c r="A8" s="104">
        <v>6</v>
      </c>
      <c r="B8" s="104">
        <v>60</v>
      </c>
      <c r="C8" s="133">
        <f>Table7[[#This Row],[HWB]]/real_zu_spiel_strombedarf/COP_0</f>
        <v>12</v>
      </c>
      <c r="D8" s="133">
        <f>Table7[[#This Row],[HWB]]/real_zu_spiel_strombedarf/COP_1</f>
        <v>6</v>
      </c>
      <c r="E8" s="133">
        <f>Table7[[#This Row],[HWB]]/real_zu_spiel_strombedarf/COP_2</f>
        <v>4.8</v>
      </c>
      <c r="F8" s="133">
        <f>Table7[[#This Row],[HWB]]/real_zu_spiel_strombedarf/COP_3</f>
        <v>3.6003600360036003</v>
      </c>
      <c r="G8" s="133">
        <f>Table7[[#This Row],[HWB]]/real_zu_spiel_strombedarf/COP_4</f>
        <v>2.6400026400026402</v>
      </c>
      <c r="H8" s="133">
        <f>Table7[[#This Row],[HWB]]/real_zu_spiel_strombedarf/COP_5</f>
        <v>1.8018018018018018</v>
      </c>
    </row>
    <row r="9" spans="1:8" ht="22.5" customHeight="1" x14ac:dyDescent="0.25">
      <c r="A9" s="104">
        <v>7</v>
      </c>
      <c r="B9" s="104">
        <v>40</v>
      </c>
      <c r="C9" s="133">
        <f>Table7[[#This Row],[HWB]]/real_zu_spiel_strombedarf/COP_0</f>
        <v>8</v>
      </c>
      <c r="D9" s="133">
        <f>Table7[[#This Row],[HWB]]/real_zu_spiel_strombedarf/COP_1</f>
        <v>4</v>
      </c>
      <c r="E9" s="133">
        <f>Table7[[#This Row],[HWB]]/real_zu_spiel_strombedarf/COP_2</f>
        <v>3.2</v>
      </c>
      <c r="F9" s="133">
        <f>Table7[[#This Row],[HWB]]/real_zu_spiel_strombedarf/COP_3</f>
        <v>2.4002400240024002</v>
      </c>
      <c r="G9" s="133">
        <f>Table7[[#This Row],[HWB]]/real_zu_spiel_strombedarf/COP_4</f>
        <v>1.7600017600017601</v>
      </c>
      <c r="H9" s="133">
        <f>Table7[[#This Row],[HWB]]/real_zu_spiel_strombedarf/COP_5</f>
        <v>1.2012012012012012</v>
      </c>
    </row>
    <row r="10" spans="1:8" ht="22.5" customHeight="1" x14ac:dyDescent="0.25">
      <c r="A10" s="104">
        <v>8</v>
      </c>
      <c r="B10" s="104">
        <v>20</v>
      </c>
      <c r="C10" s="133">
        <f>Table7[[#This Row],[HWB]]/real_zu_spiel_strombedarf/COP_0</f>
        <v>4</v>
      </c>
      <c r="D10" s="133">
        <f>Table7[[#This Row],[HWB]]/real_zu_spiel_strombedarf/COP_1</f>
        <v>2</v>
      </c>
      <c r="E10" s="133">
        <f>Table7[[#This Row],[HWB]]/real_zu_spiel_strombedarf/COP_2</f>
        <v>1.6</v>
      </c>
      <c r="F10" s="133">
        <f>Table7[[#This Row],[HWB]]/real_zu_spiel_strombedarf/COP_3</f>
        <v>1.2001200120012001</v>
      </c>
      <c r="G10" s="133">
        <f>Table7[[#This Row],[HWB]]/real_zu_spiel_strombedarf/COP_4</f>
        <v>0.88000088000088006</v>
      </c>
      <c r="H10" s="133">
        <f>Table7[[#This Row],[HWB]]/real_zu_spiel_strombedarf/COP_5</f>
        <v>0.60060060060060061</v>
      </c>
    </row>
    <row r="11" spans="1:8" ht="22.5" customHeight="1" x14ac:dyDescent="0.25">
      <c r="A11" s="104">
        <v>9</v>
      </c>
      <c r="B11" s="104">
        <v>0</v>
      </c>
      <c r="C11" s="133">
        <f>Table7[[#This Row],[HWB]]/real_zu_spiel_strombedarf/COP_0</f>
        <v>0</v>
      </c>
      <c r="D11" s="133">
        <f>Table7[[#This Row],[HWB]]/real_zu_spiel_strombedarf/COP_1</f>
        <v>0</v>
      </c>
      <c r="E11" s="133">
        <f>Table7[[#This Row],[HWB]]/real_zu_spiel_strombedarf/COP_2</f>
        <v>0</v>
      </c>
      <c r="F11" s="133">
        <f>Table7[[#This Row],[HWB]]/real_zu_spiel_strombedarf/COP_3</f>
        <v>0</v>
      </c>
      <c r="G11" s="133">
        <f>Table7[[#This Row],[HWB]]/real_zu_spiel_strombedarf/COP_4</f>
        <v>0</v>
      </c>
      <c r="H11" s="133">
        <f>Table7[[#This Row],[HWB]]/real_zu_spiel_strombedarf/COP_5</f>
        <v>0</v>
      </c>
    </row>
    <row r="16" spans="1:8" ht="12.5" x14ac:dyDescent="0.25">
      <c r="E16" s="111"/>
      <c r="F16" s="111"/>
      <c r="G16" s="111"/>
      <c r="H16" s="111"/>
    </row>
    <row r="17" spans="5:8" ht="12.5" x14ac:dyDescent="0.25">
      <c r="E17" s="111"/>
      <c r="F17" s="111"/>
      <c r="G17" s="111"/>
      <c r="H17" s="111"/>
    </row>
    <row r="18" spans="5:8" ht="12.5" x14ac:dyDescent="0.25">
      <c r="E18" s="111"/>
      <c r="F18" s="111"/>
      <c r="G18" s="111"/>
      <c r="H18" s="111"/>
    </row>
    <row r="19" spans="5:8" ht="12.5" x14ac:dyDescent="0.25">
      <c r="E19" s="111"/>
      <c r="F19" s="111"/>
      <c r="G19" s="111"/>
      <c r="H19" s="111"/>
    </row>
    <row r="20" spans="5:8" ht="12.5" x14ac:dyDescent="0.25">
      <c r="E20" s="111"/>
      <c r="F20" s="111"/>
      <c r="G20" s="111"/>
      <c r="H20" s="111"/>
    </row>
    <row r="21" spans="5:8" ht="12.5" x14ac:dyDescent="0.25">
      <c r="E21" s="111"/>
      <c r="F21" s="111"/>
      <c r="G21" s="111"/>
      <c r="H21" s="111"/>
    </row>
    <row r="22" spans="5:8" ht="12.5" x14ac:dyDescent="0.25">
      <c r="E22" s="111"/>
      <c r="F22" s="111"/>
      <c r="G22" s="111"/>
      <c r="H22" s="111"/>
    </row>
    <row r="23" spans="5:8" ht="12.5" x14ac:dyDescent="0.25">
      <c r="E23" s="111"/>
      <c r="F23" s="111"/>
      <c r="G23" s="111"/>
      <c r="H23" s="111"/>
    </row>
    <row r="24" spans="5:8" ht="12.5" x14ac:dyDescent="0.25">
      <c r="E24" s="111"/>
      <c r="F24" s="111"/>
      <c r="G24" s="111"/>
      <c r="H24" s="111"/>
    </row>
    <row r="25" spans="5:8" ht="12.5" x14ac:dyDescent="0.25">
      <c r="E25" s="111"/>
      <c r="F25" s="111"/>
      <c r="G25" s="111"/>
      <c r="H25" s="111"/>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12" activePane="bottomLeft" state="frozen"/>
      <selection pane="bottomLeft" activeCell="Q32" sqref="Q31:Q32"/>
    </sheetView>
  </sheetViews>
  <sheetFormatPr defaultColWidth="12.54296875" defaultRowHeight="15.75" customHeight="1" x14ac:dyDescent="0.25"/>
  <cols>
    <col min="1" max="1" width="16.7265625" customWidth="1"/>
    <col min="10" max="13" width="14" customWidth="1"/>
  </cols>
  <sheetData>
    <row r="1" spans="1:12" ht="22.5" customHeight="1" x14ac:dyDescent="0.25">
      <c r="A1" s="103" t="s">
        <v>276</v>
      </c>
      <c r="B1" s="118" t="s">
        <v>323</v>
      </c>
      <c r="C1" s="118" t="s">
        <v>344</v>
      </c>
      <c r="D1" s="121" t="s">
        <v>291</v>
      </c>
      <c r="E1" s="118" t="s">
        <v>325</v>
      </c>
      <c r="F1" s="118" t="s">
        <v>326</v>
      </c>
      <c r="G1" s="118" t="s">
        <v>327</v>
      </c>
      <c r="H1" s="118" t="s">
        <v>328</v>
      </c>
      <c r="I1" s="121" t="s">
        <v>302</v>
      </c>
      <c r="J1" s="121" t="s">
        <v>303</v>
      </c>
      <c r="K1" s="121" t="s">
        <v>304</v>
      </c>
      <c r="L1" s="121" t="s">
        <v>305</v>
      </c>
    </row>
    <row r="2" spans="1:12" ht="22.5" customHeight="1" x14ac:dyDescent="0.25">
      <c r="A2" s="104">
        <v>0</v>
      </c>
      <c r="B2" s="104">
        <f>Table8[[#This Row],[Netzbezug]]*real_zu_spiel_netzbezug</f>
        <v>0</v>
      </c>
      <c r="C2" s="104">
        <f>Table8[[#This Row],[Netzbezug Real]]*'Mapping RealwerteSpielwerte'!$B$27</f>
        <v>0</v>
      </c>
      <c r="D2" s="110">
        <v>0</v>
      </c>
      <c r="E2" s="126">
        <f>Table8[[#This Row],[Netzbezug Real]]*real_zu_spiel_emissionsintensität_1*years_per_round</f>
        <v>0</v>
      </c>
      <c r="F2" s="126">
        <f>Table8[[#This Row],[Netzbezug Real]]*real_zu_spiel_emissionsintensität_2*years_per_round</f>
        <v>0</v>
      </c>
      <c r="G2" s="126">
        <f>Table8[[#This Row],[Netzbezug Real]]*real_zu_spiel_emissionsintensität_3*years_per_round</f>
        <v>0</v>
      </c>
      <c r="H2" s="126">
        <f>Table8[[#This Row],[Netzbezug Real]]*real_zu_spiel_emissionsintensität_4*years_per_round</f>
        <v>0</v>
      </c>
      <c r="I2" s="136">
        <f>Table8[[#This Row],[Netzbezug Real]]*real_zu_spiel_emissionsintensität_1*years_per_round</f>
        <v>0</v>
      </c>
      <c r="J2" s="136">
        <f>Table8[[#This Row],[Netzbezug Real]]*real_zu_spiel_emissionsintensität_2*years_per_round</f>
        <v>0</v>
      </c>
      <c r="K2" s="136">
        <f>Table8[[#This Row],[Netzbezug Real]]*real_zu_spiel_emissionsintensität_3*years_per_round</f>
        <v>0</v>
      </c>
      <c r="L2" s="136">
        <f>Table8[[#This Row],[Netzbezug Real]]*real_zu_spiel_emissionsintensität_4*years_per_round</f>
        <v>0</v>
      </c>
    </row>
    <row r="3" spans="1:12" ht="22.5" customHeight="1" x14ac:dyDescent="0.25">
      <c r="A3" s="104">
        <v>1</v>
      </c>
      <c r="B3" s="104">
        <f>Table8[[#This Row],[Netzbezug]]*real_zu_spiel_netzbezug</f>
        <v>5</v>
      </c>
      <c r="C3" s="104">
        <f>Table8[[#This Row],[Netzbezug Real]]*'Mapping RealwerteSpielwerte'!$B$27</f>
        <v>0.75</v>
      </c>
      <c r="D3" s="110">
        <v>0</v>
      </c>
      <c r="E3" s="126">
        <f>Table8[[#This Row],[Netzbezug Real]]*real_zu_spiel_emissionsintensität_1*years_per_round</f>
        <v>2.5</v>
      </c>
      <c r="F3" s="126">
        <f>Table8[[#This Row],[Netzbezug Real]]*real_zu_spiel_emissionsintensität_2*years_per_round</f>
        <v>1.25</v>
      </c>
      <c r="G3" s="126">
        <f>Table8[[#This Row],[Netzbezug Real]]*real_zu_spiel_emissionsintensität_3*years_per_round</f>
        <v>0.75</v>
      </c>
      <c r="H3" s="126">
        <f>Table8[[#This Row],[Netzbezug Real]]*real_zu_spiel_emissionsintensität_4*years_per_round</f>
        <v>0.375</v>
      </c>
      <c r="I3" s="136">
        <f>Table8[[#This Row],[Netzbezug Real]]*real_zu_spiel_emissionsintensität_1*years_per_round</f>
        <v>2.5</v>
      </c>
      <c r="J3" s="136">
        <f>Table8[[#This Row],[Netzbezug Real]]*real_zu_spiel_emissionsintensität_2*years_per_round</f>
        <v>1.25</v>
      </c>
      <c r="K3" s="136">
        <f>Table8[[#This Row],[Netzbezug Real]]*real_zu_spiel_emissionsintensität_3*years_per_round</f>
        <v>0.75</v>
      </c>
      <c r="L3" s="136">
        <f>Table8[[#This Row],[Netzbezug Real]]*real_zu_spiel_emissionsintensität_4*years_per_round</f>
        <v>0.375</v>
      </c>
    </row>
    <row r="4" spans="1:12" ht="22.5" customHeight="1" x14ac:dyDescent="0.25">
      <c r="A4" s="104">
        <v>2</v>
      </c>
      <c r="B4" s="104">
        <f>Table8[[#This Row],[Netzbezug]]*real_zu_spiel_netzbezug</f>
        <v>10</v>
      </c>
      <c r="C4" s="104">
        <f>Table8[[#This Row],[Netzbezug Real]]*'Mapping RealwerteSpielwerte'!$B$27</f>
        <v>1.5</v>
      </c>
      <c r="D4" s="110">
        <v>0</v>
      </c>
      <c r="E4" s="126">
        <f>Table8[[#This Row],[Netzbezug Real]]*real_zu_spiel_emissionsintensität_1*years_per_round</f>
        <v>5</v>
      </c>
      <c r="F4" s="126">
        <f>Table8[[#This Row],[Netzbezug Real]]*real_zu_spiel_emissionsintensität_2*years_per_round</f>
        <v>2.5</v>
      </c>
      <c r="G4" s="126">
        <f>Table8[[#This Row],[Netzbezug Real]]*real_zu_spiel_emissionsintensität_3*years_per_round</f>
        <v>1.5</v>
      </c>
      <c r="H4" s="126">
        <f>Table8[[#This Row],[Netzbezug Real]]*real_zu_spiel_emissionsintensität_4*years_per_round</f>
        <v>0.75</v>
      </c>
      <c r="I4" s="136">
        <f>Table8[[#This Row],[Netzbezug Real]]*real_zu_spiel_emissionsintensität_1*years_per_round</f>
        <v>5</v>
      </c>
      <c r="J4" s="136">
        <f>Table8[[#This Row],[Netzbezug Real]]*real_zu_spiel_emissionsintensität_2*years_per_round</f>
        <v>2.5</v>
      </c>
      <c r="K4" s="136">
        <f>Table8[[#This Row],[Netzbezug Real]]*real_zu_spiel_emissionsintensität_3*years_per_round</f>
        <v>1.5</v>
      </c>
      <c r="L4" s="136">
        <f>Table8[[#This Row],[Netzbezug Real]]*real_zu_spiel_emissionsintensität_4*years_per_round</f>
        <v>0.75</v>
      </c>
    </row>
    <row r="5" spans="1:12" ht="22.5" customHeight="1" x14ac:dyDescent="0.25">
      <c r="A5" s="104">
        <v>3</v>
      </c>
      <c r="B5" s="104">
        <f>Table8[[#This Row],[Netzbezug]]*real_zu_spiel_netzbezug</f>
        <v>15</v>
      </c>
      <c r="C5" s="104">
        <f>Table8[[#This Row],[Netzbezug Real]]*'Mapping RealwerteSpielwerte'!$B$27</f>
        <v>2.25</v>
      </c>
      <c r="D5" s="110">
        <v>0</v>
      </c>
      <c r="E5" s="126">
        <f>Table8[[#This Row],[Netzbezug Real]]*real_zu_spiel_emissionsintensität_1*years_per_round</f>
        <v>7.5</v>
      </c>
      <c r="F5" s="126">
        <f>Table8[[#This Row],[Netzbezug Real]]*real_zu_spiel_emissionsintensität_2*years_per_round</f>
        <v>3.75</v>
      </c>
      <c r="G5" s="126">
        <f>Table8[[#This Row],[Netzbezug Real]]*real_zu_spiel_emissionsintensität_3*years_per_round</f>
        <v>2.25</v>
      </c>
      <c r="H5" s="126">
        <f>Table8[[#This Row],[Netzbezug Real]]*real_zu_spiel_emissionsintensität_4*years_per_round</f>
        <v>1.125</v>
      </c>
      <c r="I5" s="136">
        <f>Table8[[#This Row],[Netzbezug Real]]*real_zu_spiel_emissionsintensität_1*years_per_round</f>
        <v>7.5</v>
      </c>
      <c r="J5" s="136">
        <f>Table8[[#This Row],[Netzbezug Real]]*real_zu_spiel_emissionsintensität_2*years_per_round</f>
        <v>3.75</v>
      </c>
      <c r="K5" s="136">
        <f>Table8[[#This Row],[Netzbezug Real]]*real_zu_spiel_emissionsintensität_3*years_per_round</f>
        <v>2.25</v>
      </c>
      <c r="L5" s="136">
        <f>Table8[[#This Row],[Netzbezug Real]]*real_zu_spiel_emissionsintensität_4*years_per_round</f>
        <v>1.125</v>
      </c>
    </row>
    <row r="6" spans="1:12" ht="22.5" customHeight="1" x14ac:dyDescent="0.25">
      <c r="A6" s="104">
        <v>4</v>
      </c>
      <c r="B6" s="104">
        <f>Table8[[#This Row],[Netzbezug]]*real_zu_spiel_netzbezug</f>
        <v>20</v>
      </c>
      <c r="C6" s="104">
        <f>Table8[[#This Row],[Netzbezug Real]]*'Mapping RealwerteSpielwerte'!$B$27</f>
        <v>3</v>
      </c>
      <c r="D6" s="110">
        <v>-1</v>
      </c>
      <c r="E6" s="126">
        <f>Table8[[#This Row],[Netzbezug Real]]*real_zu_spiel_emissionsintensität_1*years_per_round</f>
        <v>10</v>
      </c>
      <c r="F6" s="126">
        <f>Table8[[#This Row],[Netzbezug Real]]*real_zu_spiel_emissionsintensität_2*years_per_round</f>
        <v>5</v>
      </c>
      <c r="G6" s="126">
        <f>Table8[[#This Row],[Netzbezug Real]]*real_zu_spiel_emissionsintensität_3*years_per_round</f>
        <v>3</v>
      </c>
      <c r="H6" s="126">
        <f>Table8[[#This Row],[Netzbezug Real]]*real_zu_spiel_emissionsintensität_4*years_per_round</f>
        <v>1.5</v>
      </c>
      <c r="I6" s="136">
        <f>Table8[[#This Row],[Netzbezug Real]]*real_zu_spiel_emissionsintensität_1*years_per_round</f>
        <v>10</v>
      </c>
      <c r="J6" s="136">
        <f>Table8[[#This Row],[Netzbezug Real]]*real_zu_spiel_emissionsintensität_2*years_per_round</f>
        <v>5</v>
      </c>
      <c r="K6" s="136">
        <f>Table8[[#This Row],[Netzbezug Real]]*real_zu_spiel_emissionsintensität_3*years_per_round</f>
        <v>3</v>
      </c>
      <c r="L6" s="136">
        <f>Table8[[#This Row],[Netzbezug Real]]*real_zu_spiel_emissionsintensität_4*years_per_round</f>
        <v>1.5</v>
      </c>
    </row>
    <row r="7" spans="1:12" ht="22.5" customHeight="1" x14ac:dyDescent="0.25">
      <c r="A7" s="104">
        <v>5</v>
      </c>
      <c r="B7" s="104">
        <f>Table8[[#This Row],[Netzbezug]]*real_zu_spiel_netzbezug</f>
        <v>25</v>
      </c>
      <c r="C7" s="104">
        <f>Table8[[#This Row],[Netzbezug Real]]*'Mapping RealwerteSpielwerte'!$B$27</f>
        <v>3.75</v>
      </c>
      <c r="D7" s="110">
        <v>-1</v>
      </c>
      <c r="E7" s="126">
        <f>Table8[[#This Row],[Netzbezug Real]]*real_zu_spiel_emissionsintensität_1*years_per_round</f>
        <v>12.5</v>
      </c>
      <c r="F7" s="126">
        <f>Table8[[#This Row],[Netzbezug Real]]*real_zu_spiel_emissionsintensität_2*years_per_round</f>
        <v>6.25</v>
      </c>
      <c r="G7" s="126">
        <f>Table8[[#This Row],[Netzbezug Real]]*real_zu_spiel_emissionsintensität_3*years_per_round</f>
        <v>3.75</v>
      </c>
      <c r="H7" s="126">
        <f>Table8[[#This Row],[Netzbezug Real]]*real_zu_spiel_emissionsintensität_4*years_per_round</f>
        <v>1.875</v>
      </c>
      <c r="I7" s="136">
        <f>Table8[[#This Row],[Netzbezug Real]]*real_zu_spiel_emissionsintensität_1*years_per_round</f>
        <v>12.5</v>
      </c>
      <c r="J7" s="136">
        <f>Table8[[#This Row],[Netzbezug Real]]*real_zu_spiel_emissionsintensität_2*years_per_round</f>
        <v>6.25</v>
      </c>
      <c r="K7" s="136">
        <f>Table8[[#This Row],[Netzbezug Real]]*real_zu_spiel_emissionsintensität_3*years_per_round</f>
        <v>3.75</v>
      </c>
      <c r="L7" s="136">
        <f>Table8[[#This Row],[Netzbezug Real]]*real_zu_spiel_emissionsintensität_4*years_per_round</f>
        <v>1.875</v>
      </c>
    </row>
    <row r="8" spans="1:12" ht="22.5" customHeight="1" x14ac:dyDescent="0.25">
      <c r="A8" s="104">
        <v>6</v>
      </c>
      <c r="B8" s="104">
        <f>Table8[[#This Row],[Netzbezug]]*real_zu_spiel_netzbezug</f>
        <v>30</v>
      </c>
      <c r="C8" s="104">
        <f>Table8[[#This Row],[Netzbezug Real]]*'Mapping RealwerteSpielwerte'!$B$27</f>
        <v>4.5</v>
      </c>
      <c r="D8" s="110">
        <v>-1</v>
      </c>
      <c r="E8" s="126">
        <f>Table8[[#This Row],[Netzbezug Real]]*real_zu_spiel_emissionsintensität_1*years_per_round</f>
        <v>15</v>
      </c>
      <c r="F8" s="126">
        <f>Table8[[#This Row],[Netzbezug Real]]*real_zu_spiel_emissionsintensität_2*years_per_round</f>
        <v>7.5</v>
      </c>
      <c r="G8" s="126">
        <f>Table8[[#This Row],[Netzbezug Real]]*real_zu_spiel_emissionsintensität_3*years_per_round</f>
        <v>4.5</v>
      </c>
      <c r="H8" s="126">
        <f>Table8[[#This Row],[Netzbezug Real]]*real_zu_spiel_emissionsintensität_4*years_per_round</f>
        <v>2.25</v>
      </c>
      <c r="I8" s="136">
        <f>Table8[[#This Row],[Netzbezug Real]]*real_zu_spiel_emissionsintensität_1*years_per_round</f>
        <v>15</v>
      </c>
      <c r="J8" s="136">
        <f>Table8[[#This Row],[Netzbezug Real]]*real_zu_spiel_emissionsintensität_2*years_per_round</f>
        <v>7.5</v>
      </c>
      <c r="K8" s="136">
        <f>Table8[[#This Row],[Netzbezug Real]]*real_zu_spiel_emissionsintensität_3*years_per_round</f>
        <v>4.5</v>
      </c>
      <c r="L8" s="136">
        <f>Table8[[#This Row],[Netzbezug Real]]*real_zu_spiel_emissionsintensität_4*years_per_round</f>
        <v>2.25</v>
      </c>
    </row>
    <row r="9" spans="1:12" ht="22.5" customHeight="1" x14ac:dyDescent="0.25">
      <c r="A9" s="104">
        <v>7</v>
      </c>
      <c r="B9" s="104">
        <f>Table8[[#This Row],[Netzbezug]]*real_zu_spiel_netzbezug</f>
        <v>35</v>
      </c>
      <c r="C9" s="104">
        <f>Table8[[#This Row],[Netzbezug Real]]*'Mapping RealwerteSpielwerte'!$B$27</f>
        <v>5.25</v>
      </c>
      <c r="D9" s="110">
        <v>-1</v>
      </c>
      <c r="E9" s="126">
        <f>Table8[[#This Row],[Netzbezug Real]]*real_zu_spiel_emissionsintensität_1*years_per_round</f>
        <v>17.5</v>
      </c>
      <c r="F9" s="126">
        <f>Table8[[#This Row],[Netzbezug Real]]*real_zu_spiel_emissionsintensität_2*years_per_round</f>
        <v>8.75</v>
      </c>
      <c r="G9" s="126">
        <f>Table8[[#This Row],[Netzbezug Real]]*real_zu_spiel_emissionsintensität_3*years_per_round</f>
        <v>5.25</v>
      </c>
      <c r="H9" s="126">
        <f>Table8[[#This Row],[Netzbezug Real]]*real_zu_spiel_emissionsintensität_4*years_per_round</f>
        <v>2.625</v>
      </c>
      <c r="I9" s="136">
        <f>Table8[[#This Row],[Netzbezug Real]]*real_zu_spiel_emissionsintensität_1*years_per_round</f>
        <v>17.5</v>
      </c>
      <c r="J9" s="136">
        <f>Table8[[#This Row],[Netzbezug Real]]*real_zu_spiel_emissionsintensität_2*years_per_round</f>
        <v>8.75</v>
      </c>
      <c r="K9" s="136">
        <f>Table8[[#This Row],[Netzbezug Real]]*real_zu_spiel_emissionsintensität_3*years_per_round</f>
        <v>5.25</v>
      </c>
      <c r="L9" s="136">
        <f>Table8[[#This Row],[Netzbezug Real]]*real_zu_spiel_emissionsintensität_4*years_per_round</f>
        <v>2.625</v>
      </c>
    </row>
    <row r="10" spans="1:12" ht="22.5" customHeight="1" x14ac:dyDescent="0.25">
      <c r="A10" s="104">
        <v>8</v>
      </c>
      <c r="B10" s="104">
        <f>Table8[[#This Row],[Netzbezug]]*real_zu_spiel_netzbezug</f>
        <v>40</v>
      </c>
      <c r="C10" s="104">
        <f>Table8[[#This Row],[Netzbezug Real]]*'Mapping RealwerteSpielwerte'!$B$27</f>
        <v>6</v>
      </c>
      <c r="D10" s="110">
        <v>-1</v>
      </c>
      <c r="E10" s="126">
        <f>Table8[[#This Row],[Netzbezug Real]]*real_zu_spiel_emissionsintensität_1*years_per_round</f>
        <v>20</v>
      </c>
      <c r="F10" s="126">
        <f>Table8[[#This Row],[Netzbezug Real]]*real_zu_spiel_emissionsintensität_2*years_per_round</f>
        <v>10</v>
      </c>
      <c r="G10" s="126">
        <f>Table8[[#This Row],[Netzbezug Real]]*real_zu_spiel_emissionsintensität_3*years_per_round</f>
        <v>6</v>
      </c>
      <c r="H10" s="126">
        <f>Table8[[#This Row],[Netzbezug Real]]*real_zu_spiel_emissionsintensität_4*years_per_round</f>
        <v>3</v>
      </c>
      <c r="I10" s="136">
        <f>Table8[[#This Row],[Netzbezug Real]]*real_zu_spiel_emissionsintensität_1*years_per_round</f>
        <v>20</v>
      </c>
      <c r="J10" s="136">
        <f>Table8[[#This Row],[Netzbezug Real]]*real_zu_spiel_emissionsintensität_2*years_per_round</f>
        <v>10</v>
      </c>
      <c r="K10" s="136">
        <f>Table8[[#This Row],[Netzbezug Real]]*real_zu_spiel_emissionsintensität_3*years_per_round</f>
        <v>6</v>
      </c>
      <c r="L10" s="136">
        <f>Table8[[#This Row],[Netzbezug Real]]*real_zu_spiel_emissionsintensität_4*years_per_round</f>
        <v>3</v>
      </c>
    </row>
    <row r="11" spans="1:12" ht="22.5" customHeight="1" x14ac:dyDescent="0.25">
      <c r="A11" s="104">
        <v>9</v>
      </c>
      <c r="B11" s="104">
        <f>Table8[[#This Row],[Netzbezug]]*real_zu_spiel_netzbezug</f>
        <v>45</v>
      </c>
      <c r="C11" s="104">
        <f>Table8[[#This Row],[Netzbezug Real]]*'Mapping RealwerteSpielwerte'!$B$27</f>
        <v>6.75</v>
      </c>
      <c r="D11" s="110">
        <v>-1</v>
      </c>
      <c r="E11" s="126">
        <f>Table8[[#This Row],[Netzbezug Real]]*real_zu_spiel_emissionsintensität_1*years_per_round</f>
        <v>22.5</v>
      </c>
      <c r="F11" s="126">
        <f>Table8[[#This Row],[Netzbezug Real]]*real_zu_spiel_emissionsintensität_2*years_per_round</f>
        <v>11.25</v>
      </c>
      <c r="G11" s="126">
        <f>Table8[[#This Row],[Netzbezug Real]]*real_zu_spiel_emissionsintensität_3*years_per_round</f>
        <v>6.7499999999999991</v>
      </c>
      <c r="H11" s="126">
        <f>Table8[[#This Row],[Netzbezug Real]]*real_zu_spiel_emissionsintensität_4*years_per_round</f>
        <v>3.3749999999999996</v>
      </c>
      <c r="I11" s="136">
        <f>Table8[[#This Row],[Netzbezug Real]]*real_zu_spiel_emissionsintensität_1*years_per_round</f>
        <v>22.5</v>
      </c>
      <c r="J11" s="136">
        <f>Table8[[#This Row],[Netzbezug Real]]*real_zu_spiel_emissionsintensität_2*years_per_round</f>
        <v>11.25</v>
      </c>
      <c r="K11" s="136">
        <f>Table8[[#This Row],[Netzbezug Real]]*real_zu_spiel_emissionsintensität_3*years_per_round</f>
        <v>6.7499999999999991</v>
      </c>
      <c r="L11" s="136">
        <f>Table8[[#This Row],[Netzbezug Real]]*real_zu_spiel_emissionsintensität_4*years_per_round</f>
        <v>3.3749999999999996</v>
      </c>
    </row>
    <row r="12" spans="1:12" ht="22.5" customHeight="1" x14ac:dyDescent="0.25">
      <c r="A12" s="104">
        <v>10</v>
      </c>
      <c r="B12" s="104">
        <f>Table8[[#This Row],[Netzbezug]]*real_zu_spiel_netzbezug</f>
        <v>50</v>
      </c>
      <c r="C12" s="104">
        <f>Table8[[#This Row],[Netzbezug Real]]*'Mapping RealwerteSpielwerte'!$B$27</f>
        <v>7.5</v>
      </c>
      <c r="D12" s="110">
        <v>-2</v>
      </c>
      <c r="E12" s="126">
        <f>Table8[[#This Row],[Netzbezug Real]]*real_zu_spiel_emissionsintensität_1*years_per_round</f>
        <v>25</v>
      </c>
      <c r="F12" s="126">
        <f>Table8[[#This Row],[Netzbezug Real]]*real_zu_spiel_emissionsintensität_2*years_per_round</f>
        <v>12.5</v>
      </c>
      <c r="G12" s="126">
        <f>Table8[[#This Row],[Netzbezug Real]]*real_zu_spiel_emissionsintensität_3*years_per_round</f>
        <v>7.5</v>
      </c>
      <c r="H12" s="126">
        <f>Table8[[#This Row],[Netzbezug Real]]*real_zu_spiel_emissionsintensität_4*years_per_round</f>
        <v>3.75</v>
      </c>
      <c r="I12" s="136">
        <f>Table8[[#This Row],[Netzbezug Real]]*real_zu_spiel_emissionsintensität_1*years_per_round</f>
        <v>25</v>
      </c>
      <c r="J12" s="136">
        <f>Table8[[#This Row],[Netzbezug Real]]*real_zu_spiel_emissionsintensität_2*years_per_round</f>
        <v>12.5</v>
      </c>
      <c r="K12" s="136">
        <f>Table8[[#This Row],[Netzbezug Real]]*real_zu_spiel_emissionsintensität_3*years_per_round</f>
        <v>7.5</v>
      </c>
      <c r="L12" s="136">
        <f>Table8[[#This Row],[Netzbezug Real]]*real_zu_spiel_emissionsintensität_4*years_per_round</f>
        <v>3.75</v>
      </c>
    </row>
    <row r="13" spans="1:12" ht="22.5" customHeight="1" x14ac:dyDescent="0.25">
      <c r="A13" s="104">
        <v>11</v>
      </c>
      <c r="B13" s="104">
        <f>Table8[[#This Row],[Netzbezug]]*real_zu_spiel_netzbezug</f>
        <v>55</v>
      </c>
      <c r="C13" s="104">
        <f>Table8[[#This Row],[Netzbezug Real]]*'Mapping RealwerteSpielwerte'!$B$27</f>
        <v>8.25</v>
      </c>
      <c r="D13" s="110">
        <v>-2</v>
      </c>
      <c r="E13" s="126">
        <f>Table8[[#This Row],[Netzbezug Real]]*real_zu_spiel_emissionsintensität_1*years_per_round</f>
        <v>27.5</v>
      </c>
      <c r="F13" s="126">
        <f>Table8[[#This Row],[Netzbezug Real]]*real_zu_spiel_emissionsintensität_2*years_per_round</f>
        <v>13.75</v>
      </c>
      <c r="G13" s="126">
        <f>Table8[[#This Row],[Netzbezug Real]]*real_zu_spiel_emissionsintensität_3*years_per_round</f>
        <v>8.25</v>
      </c>
      <c r="H13" s="126">
        <f>Table8[[#This Row],[Netzbezug Real]]*real_zu_spiel_emissionsintensität_4*years_per_round</f>
        <v>4.125</v>
      </c>
      <c r="I13" s="136">
        <f>Table8[[#This Row],[Netzbezug Real]]*real_zu_spiel_emissionsintensität_1*years_per_round</f>
        <v>27.5</v>
      </c>
      <c r="J13" s="136">
        <f>Table8[[#This Row],[Netzbezug Real]]*real_zu_spiel_emissionsintensität_2*years_per_round</f>
        <v>13.75</v>
      </c>
      <c r="K13" s="136">
        <f>Table8[[#This Row],[Netzbezug Real]]*real_zu_spiel_emissionsintensität_3*years_per_round</f>
        <v>8.25</v>
      </c>
      <c r="L13" s="136">
        <f>Table8[[#This Row],[Netzbezug Real]]*real_zu_spiel_emissionsintensität_4*years_per_round</f>
        <v>4.125</v>
      </c>
    </row>
    <row r="14" spans="1:12" ht="22.5" customHeight="1" x14ac:dyDescent="0.25">
      <c r="A14" s="104">
        <v>12</v>
      </c>
      <c r="B14" s="104">
        <f>Table8[[#This Row],[Netzbezug]]*real_zu_spiel_netzbezug</f>
        <v>60</v>
      </c>
      <c r="C14" s="104">
        <f>Table8[[#This Row],[Netzbezug Real]]*'Mapping RealwerteSpielwerte'!$B$27</f>
        <v>9</v>
      </c>
      <c r="D14" s="110">
        <v>-2</v>
      </c>
      <c r="E14" s="126">
        <f>Table8[[#This Row],[Netzbezug Real]]*real_zu_spiel_emissionsintensität_1*years_per_round</f>
        <v>30</v>
      </c>
      <c r="F14" s="126">
        <f>Table8[[#This Row],[Netzbezug Real]]*real_zu_spiel_emissionsintensität_2*years_per_round</f>
        <v>15</v>
      </c>
      <c r="G14" s="126">
        <f>Table8[[#This Row],[Netzbezug Real]]*real_zu_spiel_emissionsintensität_3*years_per_round</f>
        <v>9</v>
      </c>
      <c r="H14" s="126">
        <f>Table8[[#This Row],[Netzbezug Real]]*real_zu_spiel_emissionsintensität_4*years_per_round</f>
        <v>4.5</v>
      </c>
      <c r="I14" s="136">
        <f>Table8[[#This Row],[Netzbezug Real]]*real_zu_spiel_emissionsintensität_1*years_per_round</f>
        <v>30</v>
      </c>
      <c r="J14" s="136">
        <f>Table8[[#This Row],[Netzbezug Real]]*real_zu_spiel_emissionsintensität_2*years_per_round</f>
        <v>15</v>
      </c>
      <c r="K14" s="136">
        <f>Table8[[#This Row],[Netzbezug Real]]*real_zu_spiel_emissionsintensität_3*years_per_round</f>
        <v>9</v>
      </c>
      <c r="L14" s="136">
        <f>Table8[[#This Row],[Netzbezug Real]]*real_zu_spiel_emissionsintensität_4*years_per_round</f>
        <v>4.5</v>
      </c>
    </row>
    <row r="15" spans="1:12" ht="22.5" customHeight="1" x14ac:dyDescent="0.25">
      <c r="A15" s="104">
        <v>13</v>
      </c>
      <c r="B15" s="104">
        <f>Table8[[#This Row],[Netzbezug]]*real_zu_spiel_netzbezug</f>
        <v>65</v>
      </c>
      <c r="C15" s="104">
        <f>Table8[[#This Row],[Netzbezug Real]]*'Mapping RealwerteSpielwerte'!$B$27</f>
        <v>9.75</v>
      </c>
      <c r="D15" s="110">
        <v>-2</v>
      </c>
      <c r="E15" s="126">
        <f>Table8[[#This Row],[Netzbezug Real]]*real_zu_spiel_emissionsintensität_1*years_per_round</f>
        <v>32.5</v>
      </c>
      <c r="F15" s="126">
        <f>Table8[[#This Row],[Netzbezug Real]]*real_zu_spiel_emissionsintensität_2*years_per_round</f>
        <v>16.25</v>
      </c>
      <c r="G15" s="126">
        <f>Table8[[#This Row],[Netzbezug Real]]*real_zu_spiel_emissionsintensität_3*years_per_round</f>
        <v>9.75</v>
      </c>
      <c r="H15" s="126">
        <f>Table8[[#This Row],[Netzbezug Real]]*real_zu_spiel_emissionsintensität_4*years_per_round</f>
        <v>4.875</v>
      </c>
      <c r="I15" s="136">
        <f>Table8[[#This Row],[Netzbezug Real]]*real_zu_spiel_emissionsintensität_1*years_per_round</f>
        <v>32.5</v>
      </c>
      <c r="J15" s="136">
        <f>Table8[[#This Row],[Netzbezug Real]]*real_zu_spiel_emissionsintensität_2*years_per_round</f>
        <v>16.25</v>
      </c>
      <c r="K15" s="136">
        <f>Table8[[#This Row],[Netzbezug Real]]*real_zu_spiel_emissionsintensität_3*years_per_round</f>
        <v>9.75</v>
      </c>
      <c r="L15" s="136">
        <f>Table8[[#This Row],[Netzbezug Real]]*real_zu_spiel_emissionsintensität_4*years_per_round</f>
        <v>4.875</v>
      </c>
    </row>
    <row r="16" spans="1:12" ht="22.5" customHeight="1" x14ac:dyDescent="0.25">
      <c r="A16" s="104">
        <v>14</v>
      </c>
      <c r="B16" s="104">
        <f>Table8[[#This Row],[Netzbezug]]*real_zu_spiel_netzbezug</f>
        <v>70</v>
      </c>
      <c r="C16" s="104">
        <f>Table8[[#This Row],[Netzbezug Real]]*'Mapping RealwerteSpielwerte'!$B$27</f>
        <v>10.5</v>
      </c>
      <c r="D16" s="110">
        <v>-2</v>
      </c>
      <c r="E16" s="126">
        <f>Table8[[#This Row],[Netzbezug Real]]*real_zu_spiel_emissionsintensität_1*years_per_round</f>
        <v>35</v>
      </c>
      <c r="F16" s="126">
        <f>Table8[[#This Row],[Netzbezug Real]]*real_zu_spiel_emissionsintensität_2*years_per_round</f>
        <v>17.5</v>
      </c>
      <c r="G16" s="126">
        <f>Table8[[#This Row],[Netzbezug Real]]*real_zu_spiel_emissionsintensität_3*years_per_round</f>
        <v>10.5</v>
      </c>
      <c r="H16" s="126">
        <f>Table8[[#This Row],[Netzbezug Real]]*real_zu_spiel_emissionsintensität_4*years_per_round</f>
        <v>5.25</v>
      </c>
      <c r="I16" s="136">
        <f>Table8[[#This Row],[Netzbezug Real]]*real_zu_spiel_emissionsintensität_1*years_per_round</f>
        <v>35</v>
      </c>
      <c r="J16" s="136">
        <f>Table8[[#This Row],[Netzbezug Real]]*real_zu_spiel_emissionsintensität_2*years_per_round</f>
        <v>17.5</v>
      </c>
      <c r="K16" s="136">
        <f>Table8[[#This Row],[Netzbezug Real]]*real_zu_spiel_emissionsintensität_3*years_per_round</f>
        <v>10.5</v>
      </c>
      <c r="L16" s="136">
        <f>Table8[[#This Row],[Netzbezug Real]]*real_zu_spiel_emissionsintensität_4*years_per_round</f>
        <v>5.25</v>
      </c>
    </row>
    <row r="17" spans="1:12" ht="22.5" customHeight="1" x14ac:dyDescent="0.25">
      <c r="A17" s="104">
        <v>15</v>
      </c>
      <c r="B17" s="104">
        <f>Table8[[#This Row],[Netzbezug]]*real_zu_spiel_netzbezug</f>
        <v>75</v>
      </c>
      <c r="C17" s="104">
        <f>Table8[[#This Row],[Netzbezug Real]]*'Mapping RealwerteSpielwerte'!$B$27</f>
        <v>11.25</v>
      </c>
      <c r="D17" s="110">
        <v>-2</v>
      </c>
      <c r="E17" s="126">
        <f>Table8[[#This Row],[Netzbezug Real]]*real_zu_spiel_emissionsintensität_1*years_per_round</f>
        <v>37.5</v>
      </c>
      <c r="F17" s="126">
        <f>Table8[[#This Row],[Netzbezug Real]]*real_zu_spiel_emissionsintensität_2*years_per_round</f>
        <v>18.75</v>
      </c>
      <c r="G17" s="126">
        <f>Table8[[#This Row],[Netzbezug Real]]*real_zu_spiel_emissionsintensität_3*years_per_round</f>
        <v>11.25</v>
      </c>
      <c r="H17" s="126">
        <f>Table8[[#This Row],[Netzbezug Real]]*real_zu_spiel_emissionsintensität_4*years_per_round</f>
        <v>5.625</v>
      </c>
      <c r="I17" s="136">
        <f>Table8[[#This Row],[Netzbezug Real]]*real_zu_spiel_emissionsintensität_1*years_per_round</f>
        <v>37.5</v>
      </c>
      <c r="J17" s="136">
        <f>Table8[[#This Row],[Netzbezug Real]]*real_zu_spiel_emissionsintensität_2*years_per_round</f>
        <v>18.75</v>
      </c>
      <c r="K17" s="136">
        <f>Table8[[#This Row],[Netzbezug Real]]*real_zu_spiel_emissionsintensität_3*years_per_round</f>
        <v>11.25</v>
      </c>
      <c r="L17" s="136">
        <f>Table8[[#This Row],[Netzbezug Real]]*real_zu_spiel_emissionsintensität_4*years_per_round</f>
        <v>5.625</v>
      </c>
    </row>
    <row r="18" spans="1:12" ht="22.5" customHeight="1" x14ac:dyDescent="0.25">
      <c r="A18" s="104">
        <v>16</v>
      </c>
      <c r="B18" s="104">
        <f>Table8[[#This Row],[Netzbezug]]*real_zu_spiel_netzbezug</f>
        <v>80</v>
      </c>
      <c r="C18" s="104">
        <f>Table8[[#This Row],[Netzbezug Real]]*'Mapping RealwerteSpielwerte'!$B$27</f>
        <v>12</v>
      </c>
      <c r="D18" s="110">
        <v>-2</v>
      </c>
      <c r="E18" s="126">
        <f>Table8[[#This Row],[Netzbezug Real]]*real_zu_spiel_emissionsintensität_1*years_per_round</f>
        <v>40</v>
      </c>
      <c r="F18" s="126">
        <f>Table8[[#This Row],[Netzbezug Real]]*real_zu_spiel_emissionsintensität_2*years_per_round</f>
        <v>20</v>
      </c>
      <c r="G18" s="126">
        <f>Table8[[#This Row],[Netzbezug Real]]*real_zu_spiel_emissionsintensität_3*years_per_round</f>
        <v>12</v>
      </c>
      <c r="H18" s="126">
        <f>Table8[[#This Row],[Netzbezug Real]]*real_zu_spiel_emissionsintensität_4*years_per_round</f>
        <v>6</v>
      </c>
      <c r="I18" s="136">
        <f>Table8[[#This Row],[Netzbezug Real]]*real_zu_spiel_emissionsintensität_1*years_per_round</f>
        <v>40</v>
      </c>
      <c r="J18" s="136">
        <f>Table8[[#This Row],[Netzbezug Real]]*real_zu_spiel_emissionsintensität_2*years_per_round</f>
        <v>20</v>
      </c>
      <c r="K18" s="136">
        <f>Table8[[#This Row],[Netzbezug Real]]*real_zu_spiel_emissionsintensität_3*years_per_round</f>
        <v>12</v>
      </c>
      <c r="L18" s="136">
        <f>Table8[[#This Row],[Netzbezug Real]]*real_zu_spiel_emissionsintensität_4*years_per_round</f>
        <v>6</v>
      </c>
    </row>
    <row r="19" spans="1:12" ht="22.5" customHeight="1" x14ac:dyDescent="0.25">
      <c r="A19" s="104">
        <v>17</v>
      </c>
      <c r="B19" s="104">
        <f>Table8[[#This Row],[Netzbezug]]*real_zu_spiel_netzbezug</f>
        <v>85</v>
      </c>
      <c r="C19" s="104">
        <f>Table8[[#This Row],[Netzbezug Real]]*'Mapping RealwerteSpielwerte'!$B$27</f>
        <v>12.75</v>
      </c>
      <c r="D19" s="110">
        <v>-3</v>
      </c>
      <c r="E19" s="126">
        <f>Table8[[#This Row],[Netzbezug Real]]*real_zu_spiel_emissionsintensität_1*years_per_round</f>
        <v>42.5</v>
      </c>
      <c r="F19" s="126">
        <f>Table8[[#This Row],[Netzbezug Real]]*real_zu_spiel_emissionsintensität_2*years_per_round</f>
        <v>21.25</v>
      </c>
      <c r="G19" s="126">
        <f>Table8[[#This Row],[Netzbezug Real]]*real_zu_spiel_emissionsintensität_3*years_per_round</f>
        <v>12.75</v>
      </c>
      <c r="H19" s="126">
        <f>Table8[[#This Row],[Netzbezug Real]]*real_zu_spiel_emissionsintensität_4*years_per_round</f>
        <v>6.375</v>
      </c>
      <c r="I19" s="136">
        <f>Table8[[#This Row],[Netzbezug Real]]*real_zu_spiel_emissionsintensität_1*years_per_round</f>
        <v>42.5</v>
      </c>
      <c r="J19" s="136">
        <f>Table8[[#This Row],[Netzbezug Real]]*real_zu_spiel_emissionsintensität_2*years_per_round</f>
        <v>21.25</v>
      </c>
      <c r="K19" s="136">
        <f>Table8[[#This Row],[Netzbezug Real]]*real_zu_spiel_emissionsintensität_3*years_per_round</f>
        <v>12.75</v>
      </c>
      <c r="L19" s="136">
        <f>Table8[[#This Row],[Netzbezug Real]]*real_zu_spiel_emissionsintensität_4*years_per_round</f>
        <v>6.375</v>
      </c>
    </row>
    <row r="20" spans="1:12" ht="22.5" customHeight="1" x14ac:dyDescent="0.25">
      <c r="A20" s="104">
        <v>18</v>
      </c>
      <c r="B20" s="104">
        <f>Table8[[#This Row],[Netzbezug]]*real_zu_spiel_netzbezug</f>
        <v>90</v>
      </c>
      <c r="C20" s="104">
        <f>Table8[[#This Row],[Netzbezug Real]]*'Mapping RealwerteSpielwerte'!$B$27</f>
        <v>13.5</v>
      </c>
      <c r="D20" s="110">
        <v>-3</v>
      </c>
      <c r="E20" s="126">
        <f>Table8[[#This Row],[Netzbezug Real]]*real_zu_spiel_emissionsintensität_1*years_per_round</f>
        <v>45</v>
      </c>
      <c r="F20" s="126">
        <f>Table8[[#This Row],[Netzbezug Real]]*real_zu_spiel_emissionsintensität_2*years_per_round</f>
        <v>22.5</v>
      </c>
      <c r="G20" s="126">
        <f>Table8[[#This Row],[Netzbezug Real]]*real_zu_spiel_emissionsintensität_3*years_per_round</f>
        <v>13.499999999999998</v>
      </c>
      <c r="H20" s="126">
        <f>Table8[[#This Row],[Netzbezug Real]]*real_zu_spiel_emissionsintensität_4*years_per_round</f>
        <v>6.7499999999999991</v>
      </c>
      <c r="I20" s="136">
        <f>Table8[[#This Row],[Netzbezug Real]]*real_zu_spiel_emissionsintensität_1*years_per_round</f>
        <v>45</v>
      </c>
      <c r="J20" s="136">
        <f>Table8[[#This Row],[Netzbezug Real]]*real_zu_spiel_emissionsintensität_2*years_per_round</f>
        <v>22.5</v>
      </c>
      <c r="K20" s="136">
        <f>Table8[[#This Row],[Netzbezug Real]]*real_zu_spiel_emissionsintensität_3*years_per_round</f>
        <v>13.499999999999998</v>
      </c>
      <c r="L20" s="136">
        <f>Table8[[#This Row],[Netzbezug Real]]*real_zu_spiel_emissionsintensität_4*years_per_round</f>
        <v>6.7499999999999991</v>
      </c>
    </row>
    <row r="21" spans="1:12" ht="22.5" customHeight="1" x14ac:dyDescent="0.25">
      <c r="A21" s="104">
        <v>19</v>
      </c>
      <c r="B21" s="104">
        <f>Table8[[#This Row],[Netzbezug]]*real_zu_spiel_netzbezug</f>
        <v>95</v>
      </c>
      <c r="C21" s="104">
        <f>Table8[[#This Row],[Netzbezug Real]]*'Mapping RealwerteSpielwerte'!$B$27</f>
        <v>14.25</v>
      </c>
      <c r="D21" s="110">
        <v>-3</v>
      </c>
      <c r="E21" s="126">
        <f>Table8[[#This Row],[Netzbezug Real]]*real_zu_spiel_emissionsintensität_1*years_per_round</f>
        <v>47.5</v>
      </c>
      <c r="F21" s="126">
        <f>Table8[[#This Row],[Netzbezug Real]]*real_zu_spiel_emissionsintensität_2*years_per_round</f>
        <v>23.75</v>
      </c>
      <c r="G21" s="126">
        <f>Table8[[#This Row],[Netzbezug Real]]*real_zu_spiel_emissionsintensität_3*years_per_round</f>
        <v>14.25</v>
      </c>
      <c r="H21" s="126">
        <f>Table8[[#This Row],[Netzbezug Real]]*real_zu_spiel_emissionsintensität_4*years_per_round</f>
        <v>7.125</v>
      </c>
      <c r="I21" s="136">
        <f>Table8[[#This Row],[Netzbezug Real]]*real_zu_spiel_emissionsintensität_1*years_per_round</f>
        <v>47.5</v>
      </c>
      <c r="J21" s="136">
        <f>Table8[[#This Row],[Netzbezug Real]]*real_zu_spiel_emissionsintensität_2*years_per_round</f>
        <v>23.75</v>
      </c>
      <c r="K21" s="136">
        <f>Table8[[#This Row],[Netzbezug Real]]*real_zu_spiel_emissionsintensität_3*years_per_round</f>
        <v>14.25</v>
      </c>
      <c r="L21" s="136">
        <f>Table8[[#This Row],[Netzbezug Real]]*real_zu_spiel_emissionsintensität_4*years_per_round</f>
        <v>7.125</v>
      </c>
    </row>
    <row r="22" spans="1:12" ht="22.5" customHeight="1" x14ac:dyDescent="0.25">
      <c r="A22" s="104">
        <v>20</v>
      </c>
      <c r="B22" s="104">
        <f>Table8[[#This Row],[Netzbezug]]*real_zu_spiel_netzbezug</f>
        <v>100</v>
      </c>
      <c r="C22" s="104">
        <f>Table8[[#This Row],[Netzbezug Real]]*'Mapping RealwerteSpielwerte'!$B$27</f>
        <v>15</v>
      </c>
      <c r="D22" s="110">
        <v>-3</v>
      </c>
      <c r="E22" s="126">
        <f>Table8[[#This Row],[Netzbezug Real]]*real_zu_spiel_emissionsintensität_1*years_per_round</f>
        <v>50</v>
      </c>
      <c r="F22" s="126">
        <f>Table8[[#This Row],[Netzbezug Real]]*real_zu_spiel_emissionsintensität_2*years_per_round</f>
        <v>25</v>
      </c>
      <c r="G22" s="126">
        <f>Table8[[#This Row],[Netzbezug Real]]*real_zu_spiel_emissionsintensität_3*years_per_round</f>
        <v>15</v>
      </c>
      <c r="H22" s="126">
        <f>Table8[[#This Row],[Netzbezug Real]]*real_zu_spiel_emissionsintensität_4*years_per_round</f>
        <v>7.5</v>
      </c>
      <c r="I22" s="136">
        <f>Table8[[#This Row],[Netzbezug Real]]*real_zu_spiel_emissionsintensität_1*years_per_round</f>
        <v>50</v>
      </c>
      <c r="J22" s="136">
        <f>Table8[[#This Row],[Netzbezug Real]]*real_zu_spiel_emissionsintensität_2*years_per_round</f>
        <v>25</v>
      </c>
      <c r="K22" s="136">
        <f>Table8[[#This Row],[Netzbezug Real]]*real_zu_spiel_emissionsintensität_3*years_per_round</f>
        <v>15</v>
      </c>
      <c r="L22" s="136">
        <f>Table8[[#This Row],[Netzbezug Real]]*real_zu_spiel_emissionsintensität_4*years_per_round</f>
        <v>7.5</v>
      </c>
    </row>
    <row r="23" spans="1:12" ht="15.75" customHeight="1" x14ac:dyDescent="0.25">
      <c r="A23" s="104">
        <v>21</v>
      </c>
      <c r="B23" s="104">
        <f>Table8[[#This Row],[Netzbezug]]*real_zu_spiel_netzbezug</f>
        <v>105</v>
      </c>
      <c r="C23" s="104">
        <f>Table8[[#This Row],[Netzbezug Real]]*'Mapping RealwerteSpielwerte'!$B$27</f>
        <v>15.75</v>
      </c>
      <c r="D23" s="110">
        <v>-3</v>
      </c>
      <c r="E23" s="126">
        <f>Table8[[#This Row],[Netzbezug Real]]*real_zu_spiel_emissionsintensität_1*years_per_round</f>
        <v>52.5</v>
      </c>
      <c r="F23" s="126">
        <f>Table8[[#This Row],[Netzbezug Real]]*real_zu_spiel_emissionsintensität_2*years_per_round</f>
        <v>26.25</v>
      </c>
      <c r="G23" s="126">
        <f>Table8[[#This Row],[Netzbezug Real]]*real_zu_spiel_emissionsintensität_3*years_per_round</f>
        <v>15.75</v>
      </c>
      <c r="H23" s="126">
        <f>Table8[[#This Row],[Netzbezug Real]]*real_zu_spiel_emissionsintensität_4*years_per_round</f>
        <v>7.875</v>
      </c>
      <c r="I23" s="136">
        <f>Table8[[#This Row],[Netzbezug Real]]*real_zu_spiel_emissionsintensität_1*years_per_round</f>
        <v>52.5</v>
      </c>
      <c r="J23" s="136">
        <f>Table8[[#This Row],[Netzbezug Real]]*real_zu_spiel_emissionsintensität_2*years_per_round</f>
        <v>26.25</v>
      </c>
      <c r="K23" s="136">
        <f>Table8[[#This Row],[Netzbezug Real]]*real_zu_spiel_emissionsintensität_3*years_per_round</f>
        <v>15.75</v>
      </c>
      <c r="L23" s="136">
        <f>Table8[[#This Row],[Netzbezug Real]]*real_zu_spiel_emissionsintensität_4*years_per_round</f>
        <v>7.875</v>
      </c>
    </row>
    <row r="24" spans="1:12" ht="15.75" customHeight="1" x14ac:dyDescent="0.25">
      <c r="A24" s="104">
        <v>22</v>
      </c>
      <c r="B24" s="104">
        <f>Table8[[#This Row],[Netzbezug]]*real_zu_spiel_netzbezug</f>
        <v>110</v>
      </c>
      <c r="C24" s="104">
        <f>Table8[[#This Row],[Netzbezug Real]]*'Mapping RealwerteSpielwerte'!$B$27</f>
        <v>16.5</v>
      </c>
      <c r="D24" s="110">
        <v>-3</v>
      </c>
      <c r="E24" s="126">
        <f>Table8[[#This Row],[Netzbezug Real]]*real_zu_spiel_emissionsintensität_1*years_per_round</f>
        <v>55</v>
      </c>
      <c r="F24" s="126">
        <f>Table8[[#This Row],[Netzbezug Real]]*real_zu_spiel_emissionsintensität_2*years_per_round</f>
        <v>27.5</v>
      </c>
      <c r="G24" s="126">
        <f>Table8[[#This Row],[Netzbezug Real]]*real_zu_spiel_emissionsintensität_3*years_per_round</f>
        <v>16.5</v>
      </c>
      <c r="H24" s="126">
        <f>Table8[[#This Row],[Netzbezug Real]]*real_zu_spiel_emissionsintensität_4*years_per_round</f>
        <v>8.25</v>
      </c>
      <c r="I24" s="136">
        <f>Table8[[#This Row],[Netzbezug Real]]*real_zu_spiel_emissionsintensität_1*years_per_round</f>
        <v>55</v>
      </c>
      <c r="J24" s="136">
        <f>Table8[[#This Row],[Netzbezug Real]]*real_zu_spiel_emissionsintensität_2*years_per_round</f>
        <v>27.5</v>
      </c>
      <c r="K24" s="136">
        <f>Table8[[#This Row],[Netzbezug Real]]*real_zu_spiel_emissionsintensität_3*years_per_round</f>
        <v>16.5</v>
      </c>
      <c r="L24" s="136">
        <f>Table8[[#This Row],[Netzbezug Real]]*real_zu_spiel_emissionsintensität_4*years_per_round</f>
        <v>8.25</v>
      </c>
    </row>
    <row r="25" spans="1:12" ht="15.75" customHeight="1" x14ac:dyDescent="0.25">
      <c r="A25" s="104">
        <v>23</v>
      </c>
      <c r="B25" s="104">
        <f>Table8[[#This Row],[Netzbezug]]*real_zu_spiel_netzbezug</f>
        <v>115</v>
      </c>
      <c r="C25" s="104">
        <f>Table8[[#This Row],[Netzbezug Real]]*'Mapping RealwerteSpielwerte'!$B$27</f>
        <v>17.25</v>
      </c>
      <c r="D25" s="110">
        <v>-3</v>
      </c>
      <c r="E25" s="126">
        <f>Table8[[#This Row],[Netzbezug Real]]*real_zu_spiel_emissionsintensität_1*years_per_round</f>
        <v>57.5</v>
      </c>
      <c r="F25" s="126">
        <f>Table8[[#This Row],[Netzbezug Real]]*real_zu_spiel_emissionsintensität_2*years_per_round</f>
        <v>28.75</v>
      </c>
      <c r="G25" s="126">
        <f>Table8[[#This Row],[Netzbezug Real]]*real_zu_spiel_emissionsintensität_3*years_per_round</f>
        <v>17.25</v>
      </c>
      <c r="H25" s="126">
        <f>Table8[[#This Row],[Netzbezug Real]]*real_zu_spiel_emissionsintensität_4*years_per_round</f>
        <v>8.625</v>
      </c>
      <c r="I25" s="136">
        <f>Table8[[#This Row],[Netzbezug Real]]*real_zu_spiel_emissionsintensität_1*years_per_round</f>
        <v>57.5</v>
      </c>
      <c r="J25" s="136">
        <f>Table8[[#This Row],[Netzbezug Real]]*real_zu_spiel_emissionsintensität_2*years_per_round</f>
        <v>28.75</v>
      </c>
      <c r="K25" s="136">
        <f>Table8[[#This Row],[Netzbezug Real]]*real_zu_spiel_emissionsintensität_3*years_per_round</f>
        <v>17.25</v>
      </c>
      <c r="L25" s="136">
        <f>Table8[[#This Row],[Netzbezug Real]]*real_zu_spiel_emissionsintensität_4*years_per_round</f>
        <v>8.625</v>
      </c>
    </row>
    <row r="26" spans="1:12" ht="15.75" customHeight="1" x14ac:dyDescent="0.25">
      <c r="A26" s="104">
        <v>24</v>
      </c>
      <c r="B26" s="104">
        <f>Table8[[#This Row],[Netzbezug]]*real_zu_spiel_netzbezug</f>
        <v>120</v>
      </c>
      <c r="C26" s="104">
        <f>Table8[[#This Row],[Netzbezug Real]]*'Mapping RealwerteSpielwerte'!$B$27</f>
        <v>18</v>
      </c>
      <c r="D26" s="110">
        <v>-4</v>
      </c>
      <c r="E26" s="126">
        <f>Table8[[#This Row],[Netzbezug Real]]*real_zu_spiel_emissionsintensität_1*years_per_round</f>
        <v>60</v>
      </c>
      <c r="F26" s="126">
        <f>Table8[[#This Row],[Netzbezug Real]]*real_zu_spiel_emissionsintensität_2*years_per_round</f>
        <v>30</v>
      </c>
      <c r="G26" s="126">
        <f>Table8[[#This Row],[Netzbezug Real]]*real_zu_spiel_emissionsintensität_3*years_per_round</f>
        <v>18</v>
      </c>
      <c r="H26" s="126">
        <f>Table8[[#This Row],[Netzbezug Real]]*real_zu_spiel_emissionsintensität_4*years_per_round</f>
        <v>9</v>
      </c>
      <c r="I26" s="136">
        <f>Table8[[#This Row],[Netzbezug Real]]*real_zu_spiel_emissionsintensität_1*years_per_round</f>
        <v>60</v>
      </c>
      <c r="J26" s="136">
        <f>Table8[[#This Row],[Netzbezug Real]]*real_zu_spiel_emissionsintensität_2*years_per_round</f>
        <v>30</v>
      </c>
      <c r="K26" s="136">
        <f>Table8[[#This Row],[Netzbezug Real]]*real_zu_spiel_emissionsintensität_3*years_per_round</f>
        <v>18</v>
      </c>
      <c r="L26" s="136">
        <f>Table8[[#This Row],[Netzbezug Real]]*real_zu_spiel_emissionsintensität_4*years_per_round</f>
        <v>9</v>
      </c>
    </row>
    <row r="27" spans="1:12" ht="15.75" customHeight="1" x14ac:dyDescent="0.25">
      <c r="A27" s="104">
        <v>25</v>
      </c>
      <c r="B27" s="104">
        <f>Table8[[#This Row],[Netzbezug]]*real_zu_spiel_netzbezug</f>
        <v>125</v>
      </c>
      <c r="C27" s="104">
        <f>Table8[[#This Row],[Netzbezug Real]]*'Mapping RealwerteSpielwerte'!$B$27</f>
        <v>18.75</v>
      </c>
      <c r="D27" s="110">
        <v>-4</v>
      </c>
      <c r="E27" s="126">
        <f>Table8[[#This Row],[Netzbezug Real]]*real_zu_spiel_emissionsintensität_1*years_per_round</f>
        <v>62.5</v>
      </c>
      <c r="F27" s="126">
        <f>Table8[[#This Row],[Netzbezug Real]]*real_zu_spiel_emissionsintensität_2*years_per_round</f>
        <v>31.25</v>
      </c>
      <c r="G27" s="126">
        <f>Table8[[#This Row],[Netzbezug Real]]*real_zu_spiel_emissionsintensität_3*years_per_round</f>
        <v>18.75</v>
      </c>
      <c r="H27" s="126">
        <f>Table8[[#This Row],[Netzbezug Real]]*real_zu_spiel_emissionsintensität_4*years_per_round</f>
        <v>9.375</v>
      </c>
      <c r="I27" s="136">
        <f>Table8[[#This Row],[Netzbezug Real]]*real_zu_spiel_emissionsintensität_1*years_per_round</f>
        <v>62.5</v>
      </c>
      <c r="J27" s="136">
        <f>Table8[[#This Row],[Netzbezug Real]]*real_zu_spiel_emissionsintensität_2*years_per_round</f>
        <v>31.25</v>
      </c>
      <c r="K27" s="136">
        <f>Table8[[#This Row],[Netzbezug Real]]*real_zu_spiel_emissionsintensität_3*years_per_round</f>
        <v>18.75</v>
      </c>
      <c r="L27" s="136">
        <f>Table8[[#This Row],[Netzbezug Real]]*real_zu_spiel_emissionsintensität_4*years_per_round</f>
        <v>9.375</v>
      </c>
    </row>
    <row r="28" spans="1:12" ht="15.75" customHeight="1" x14ac:dyDescent="0.25">
      <c r="A28" s="104">
        <v>26</v>
      </c>
      <c r="B28" s="104">
        <f>Table8[[#This Row],[Netzbezug]]*real_zu_spiel_netzbezug</f>
        <v>130</v>
      </c>
      <c r="C28" s="104">
        <f>Table8[[#This Row],[Netzbezug Real]]*'Mapping RealwerteSpielwerte'!$B$27</f>
        <v>19.5</v>
      </c>
      <c r="D28" s="110">
        <v>-4</v>
      </c>
      <c r="E28" s="126">
        <f>Table8[[#This Row],[Netzbezug Real]]*real_zu_spiel_emissionsintensität_1*years_per_round</f>
        <v>65</v>
      </c>
      <c r="F28" s="126">
        <f>Table8[[#This Row],[Netzbezug Real]]*real_zu_spiel_emissionsintensität_2*years_per_round</f>
        <v>32.5</v>
      </c>
      <c r="G28" s="126">
        <f>Table8[[#This Row],[Netzbezug Real]]*real_zu_spiel_emissionsintensität_3*years_per_round</f>
        <v>19.5</v>
      </c>
      <c r="H28" s="126">
        <f>Table8[[#This Row],[Netzbezug Real]]*real_zu_spiel_emissionsintensität_4*years_per_round</f>
        <v>9.75</v>
      </c>
      <c r="I28" s="136">
        <f>Table8[[#This Row],[Netzbezug Real]]*real_zu_spiel_emissionsintensität_1*years_per_round</f>
        <v>65</v>
      </c>
      <c r="J28" s="136">
        <f>Table8[[#This Row],[Netzbezug Real]]*real_zu_spiel_emissionsintensität_2*years_per_round</f>
        <v>32.5</v>
      </c>
      <c r="K28" s="136">
        <f>Table8[[#This Row],[Netzbezug Real]]*real_zu_spiel_emissionsintensität_3*years_per_round</f>
        <v>19.5</v>
      </c>
      <c r="L28" s="136">
        <f>Table8[[#This Row],[Netzbezug Real]]*real_zu_spiel_emissionsintensität_4*years_per_round</f>
        <v>9.75</v>
      </c>
    </row>
    <row r="29" spans="1:12" ht="15.75" customHeight="1" x14ac:dyDescent="0.25">
      <c r="A29" s="104">
        <v>27</v>
      </c>
      <c r="B29" s="104">
        <f>Table8[[#This Row],[Netzbezug]]*real_zu_spiel_netzbezug</f>
        <v>135</v>
      </c>
      <c r="C29" s="104">
        <f>Table8[[#This Row],[Netzbezug Real]]*'Mapping RealwerteSpielwerte'!$B$27</f>
        <v>20.25</v>
      </c>
      <c r="D29" s="110">
        <v>-4</v>
      </c>
      <c r="E29" s="126">
        <f>Table8[[#This Row],[Netzbezug Real]]*real_zu_spiel_emissionsintensität_1*years_per_round</f>
        <v>67.5</v>
      </c>
      <c r="F29" s="126">
        <f>Table8[[#This Row],[Netzbezug Real]]*real_zu_spiel_emissionsintensität_2*years_per_round</f>
        <v>33.75</v>
      </c>
      <c r="G29" s="126">
        <f>Table8[[#This Row],[Netzbezug Real]]*real_zu_spiel_emissionsintensität_3*years_per_round</f>
        <v>20.25</v>
      </c>
      <c r="H29" s="126">
        <f>Table8[[#This Row],[Netzbezug Real]]*real_zu_spiel_emissionsintensität_4*years_per_round</f>
        <v>10.125</v>
      </c>
      <c r="I29" s="136">
        <f>Table8[[#This Row],[Netzbezug Real]]*real_zu_spiel_emissionsintensität_1*years_per_round</f>
        <v>67.5</v>
      </c>
      <c r="J29" s="136">
        <f>Table8[[#This Row],[Netzbezug Real]]*real_zu_spiel_emissionsintensität_2*years_per_round</f>
        <v>33.75</v>
      </c>
      <c r="K29" s="136">
        <f>Table8[[#This Row],[Netzbezug Real]]*real_zu_spiel_emissionsintensität_3*years_per_round</f>
        <v>20.25</v>
      </c>
      <c r="L29" s="136">
        <f>Table8[[#This Row],[Netzbezug Real]]*real_zu_spiel_emissionsintensität_4*years_per_round</f>
        <v>10.125</v>
      </c>
    </row>
    <row r="30" spans="1:12" ht="15.75" customHeight="1" x14ac:dyDescent="0.25">
      <c r="A30" s="104">
        <v>28</v>
      </c>
      <c r="B30" s="104">
        <f>Table8[[#This Row],[Netzbezug]]*real_zu_spiel_netzbezug</f>
        <v>140</v>
      </c>
      <c r="C30" s="104">
        <f>Table8[[#This Row],[Netzbezug Real]]*'Mapping RealwerteSpielwerte'!$B$27</f>
        <v>21</v>
      </c>
      <c r="D30" s="110">
        <v>-4</v>
      </c>
      <c r="E30" s="126">
        <f>Table8[[#This Row],[Netzbezug Real]]*real_zu_spiel_emissionsintensität_1*years_per_round</f>
        <v>70</v>
      </c>
      <c r="F30" s="126">
        <f>Table8[[#This Row],[Netzbezug Real]]*real_zu_spiel_emissionsintensität_2*years_per_round</f>
        <v>35</v>
      </c>
      <c r="G30" s="126">
        <f>Table8[[#This Row],[Netzbezug Real]]*real_zu_spiel_emissionsintensität_3*years_per_round</f>
        <v>21</v>
      </c>
      <c r="H30" s="126">
        <f>Table8[[#This Row],[Netzbezug Real]]*real_zu_spiel_emissionsintensität_4*years_per_round</f>
        <v>10.5</v>
      </c>
      <c r="I30" s="136">
        <f>Table8[[#This Row],[Netzbezug Real]]*real_zu_spiel_emissionsintensität_1*years_per_round</f>
        <v>70</v>
      </c>
      <c r="J30" s="136">
        <f>Table8[[#This Row],[Netzbezug Real]]*real_zu_spiel_emissionsintensität_2*years_per_round</f>
        <v>35</v>
      </c>
      <c r="K30" s="136">
        <f>Table8[[#This Row],[Netzbezug Real]]*real_zu_spiel_emissionsintensität_3*years_per_round</f>
        <v>21</v>
      </c>
      <c r="L30" s="136">
        <f>Table8[[#This Row],[Netzbezug Real]]*real_zu_spiel_emissionsintensität_4*years_per_round</f>
        <v>10.5</v>
      </c>
    </row>
    <row r="31" spans="1:12" ht="15.75" customHeight="1" x14ac:dyDescent="0.25">
      <c r="A31" s="104">
        <v>29</v>
      </c>
      <c r="B31" s="104">
        <f>Table8[[#This Row],[Netzbezug]]*real_zu_spiel_netzbezug</f>
        <v>145</v>
      </c>
      <c r="C31" s="104">
        <f>Table8[[#This Row],[Netzbezug Real]]*'Mapping RealwerteSpielwerte'!$B$27</f>
        <v>21.75</v>
      </c>
      <c r="D31" s="110">
        <v>-4</v>
      </c>
      <c r="E31" s="126">
        <f>Table8[[#This Row],[Netzbezug Real]]*real_zu_spiel_emissionsintensität_1*years_per_round</f>
        <v>72.5</v>
      </c>
      <c r="F31" s="126">
        <f>Table8[[#This Row],[Netzbezug Real]]*real_zu_spiel_emissionsintensität_2*years_per_round</f>
        <v>36.25</v>
      </c>
      <c r="G31" s="126">
        <f>Table8[[#This Row],[Netzbezug Real]]*real_zu_spiel_emissionsintensität_3*years_per_round</f>
        <v>21.75</v>
      </c>
      <c r="H31" s="126">
        <f>Table8[[#This Row],[Netzbezug Real]]*real_zu_spiel_emissionsintensität_4*years_per_round</f>
        <v>10.875</v>
      </c>
      <c r="I31" s="136">
        <f>Table8[[#This Row],[Netzbezug Real]]*real_zu_spiel_emissionsintensität_1*years_per_round</f>
        <v>72.5</v>
      </c>
      <c r="J31" s="136">
        <f>Table8[[#This Row],[Netzbezug Real]]*real_zu_spiel_emissionsintensität_2*years_per_round</f>
        <v>36.25</v>
      </c>
      <c r="K31" s="136">
        <f>Table8[[#This Row],[Netzbezug Real]]*real_zu_spiel_emissionsintensität_3*years_per_round</f>
        <v>21.75</v>
      </c>
      <c r="L31" s="136">
        <f>Table8[[#This Row],[Netzbezug Real]]*real_zu_spiel_emissionsintensität_4*years_per_round</f>
        <v>10.875</v>
      </c>
    </row>
    <row r="32" spans="1:12" ht="15.75" customHeight="1" x14ac:dyDescent="0.25">
      <c r="A32" s="104">
        <v>30</v>
      </c>
      <c r="B32" s="104">
        <f>Table8[[#This Row],[Netzbezug]]*real_zu_spiel_netzbezug</f>
        <v>150</v>
      </c>
      <c r="C32" s="104">
        <f>Table8[[#This Row],[Netzbezug Real]]*'Mapping RealwerteSpielwerte'!$B$27</f>
        <v>22.5</v>
      </c>
      <c r="D32" s="110">
        <v>-5</v>
      </c>
      <c r="E32" s="126">
        <f>Table8[[#This Row],[Netzbezug Real]]*real_zu_spiel_emissionsintensität_1*years_per_round</f>
        <v>75</v>
      </c>
      <c r="F32" s="126">
        <f>Table8[[#This Row],[Netzbezug Real]]*real_zu_spiel_emissionsintensität_2*years_per_round</f>
        <v>37.5</v>
      </c>
      <c r="G32" s="126">
        <f>Table8[[#This Row],[Netzbezug Real]]*real_zu_spiel_emissionsintensität_3*years_per_round</f>
        <v>22.5</v>
      </c>
      <c r="H32" s="126">
        <f>Table8[[#This Row],[Netzbezug Real]]*real_zu_spiel_emissionsintensität_4*years_per_round</f>
        <v>11.25</v>
      </c>
      <c r="I32" s="136">
        <f>Table8[[#This Row],[Netzbezug Real]]*real_zu_spiel_emissionsintensität_1*years_per_round</f>
        <v>75</v>
      </c>
      <c r="J32" s="136">
        <f>Table8[[#This Row],[Netzbezug Real]]*real_zu_spiel_emissionsintensität_2*years_per_round</f>
        <v>37.5</v>
      </c>
      <c r="K32" s="136">
        <f>Table8[[#This Row],[Netzbezug Real]]*real_zu_spiel_emissionsintensität_3*years_per_round</f>
        <v>22.5</v>
      </c>
      <c r="L32" s="136">
        <f>Table8[[#This Row],[Netzbezug Real]]*real_zu_spiel_emissionsintensität_4*years_per_round</f>
        <v>11.25</v>
      </c>
    </row>
    <row r="33" spans="1:12" ht="15.75" customHeight="1" x14ac:dyDescent="0.25">
      <c r="A33" s="104">
        <v>31</v>
      </c>
      <c r="B33" s="104">
        <f>Table8[[#This Row],[Netzbezug]]*real_zu_spiel_netzbezug</f>
        <v>155</v>
      </c>
      <c r="C33" s="104">
        <f>Table8[[#This Row],[Netzbezug Real]]*'Mapping RealwerteSpielwerte'!$B$27</f>
        <v>23.25</v>
      </c>
      <c r="D33" s="110">
        <v>-5</v>
      </c>
      <c r="E33" s="126">
        <f>Table8[[#This Row],[Netzbezug Real]]*real_zu_spiel_emissionsintensität_1*years_per_round</f>
        <v>77.5</v>
      </c>
      <c r="F33" s="126">
        <f>Table8[[#This Row],[Netzbezug Real]]*real_zu_spiel_emissionsintensität_2*years_per_round</f>
        <v>38.75</v>
      </c>
      <c r="G33" s="126">
        <f>Table8[[#This Row],[Netzbezug Real]]*real_zu_spiel_emissionsintensität_3*years_per_round</f>
        <v>23.249999999999996</v>
      </c>
      <c r="H33" s="126">
        <f>Table8[[#This Row],[Netzbezug Real]]*real_zu_spiel_emissionsintensität_4*years_per_round</f>
        <v>11.624999999999998</v>
      </c>
      <c r="I33" s="136">
        <f>Table8[[#This Row],[Netzbezug Real]]*real_zu_spiel_emissionsintensität_1*years_per_round</f>
        <v>77.5</v>
      </c>
      <c r="J33" s="136">
        <f>Table8[[#This Row],[Netzbezug Real]]*real_zu_spiel_emissionsintensität_2*years_per_round</f>
        <v>38.75</v>
      </c>
      <c r="K33" s="136">
        <f>Table8[[#This Row],[Netzbezug Real]]*real_zu_spiel_emissionsintensität_3*years_per_round</f>
        <v>23.249999999999996</v>
      </c>
      <c r="L33" s="136">
        <f>Table8[[#This Row],[Netzbezug Real]]*real_zu_spiel_emissionsintensität_4*years_per_round</f>
        <v>11.624999999999998</v>
      </c>
    </row>
    <row r="34" spans="1:12" ht="15.75" customHeight="1" x14ac:dyDescent="0.25">
      <c r="A34" s="104">
        <v>32</v>
      </c>
      <c r="B34" s="104">
        <f>Table8[[#This Row],[Netzbezug]]*real_zu_spiel_netzbezug</f>
        <v>160</v>
      </c>
      <c r="C34" s="104">
        <f>Table8[[#This Row],[Netzbezug Real]]*'Mapping RealwerteSpielwerte'!$B$27</f>
        <v>24</v>
      </c>
      <c r="D34" s="110">
        <v>-5</v>
      </c>
      <c r="E34" s="126">
        <f>Table8[[#This Row],[Netzbezug Real]]*real_zu_spiel_emissionsintensität_1*years_per_round</f>
        <v>80</v>
      </c>
      <c r="F34" s="126">
        <f>Table8[[#This Row],[Netzbezug Real]]*real_zu_spiel_emissionsintensität_2*years_per_round</f>
        <v>40</v>
      </c>
      <c r="G34" s="126">
        <f>Table8[[#This Row],[Netzbezug Real]]*real_zu_spiel_emissionsintensität_3*years_per_round</f>
        <v>24</v>
      </c>
      <c r="H34" s="126">
        <f>Table8[[#This Row],[Netzbezug Real]]*real_zu_spiel_emissionsintensität_4*years_per_round</f>
        <v>12</v>
      </c>
      <c r="I34" s="136">
        <f>Table8[[#This Row],[Netzbezug Real]]*real_zu_spiel_emissionsintensität_1*years_per_round</f>
        <v>80</v>
      </c>
      <c r="J34" s="136">
        <f>Table8[[#This Row],[Netzbezug Real]]*real_zu_spiel_emissionsintensität_2*years_per_round</f>
        <v>40</v>
      </c>
      <c r="K34" s="136">
        <f>Table8[[#This Row],[Netzbezug Real]]*real_zu_spiel_emissionsintensität_3*years_per_round</f>
        <v>24</v>
      </c>
      <c r="L34" s="136">
        <f>Table8[[#This Row],[Netzbezug Real]]*real_zu_spiel_emissionsintensität_4*years_per_round</f>
        <v>12</v>
      </c>
    </row>
    <row r="35" spans="1:12" ht="15.75" customHeight="1" x14ac:dyDescent="0.25">
      <c r="A35" s="104">
        <v>33</v>
      </c>
      <c r="B35" s="104">
        <f>Table8[[#This Row],[Netzbezug]]*real_zu_spiel_netzbezug</f>
        <v>165</v>
      </c>
      <c r="C35" s="104">
        <f>Table8[[#This Row],[Netzbezug Real]]*'Mapping RealwerteSpielwerte'!$B$27</f>
        <v>24.75</v>
      </c>
      <c r="D35" s="110">
        <v>-5</v>
      </c>
      <c r="E35" s="126">
        <f>Table8[[#This Row],[Netzbezug Real]]*real_zu_spiel_emissionsintensität_1*years_per_round</f>
        <v>82.5</v>
      </c>
      <c r="F35" s="126">
        <f>Table8[[#This Row],[Netzbezug Real]]*real_zu_spiel_emissionsintensität_2*years_per_round</f>
        <v>41.25</v>
      </c>
      <c r="G35" s="126">
        <f>Table8[[#This Row],[Netzbezug Real]]*real_zu_spiel_emissionsintensität_3*years_per_round</f>
        <v>24.75</v>
      </c>
      <c r="H35" s="126">
        <f>Table8[[#This Row],[Netzbezug Real]]*real_zu_spiel_emissionsintensität_4*years_per_round</f>
        <v>12.375</v>
      </c>
      <c r="I35" s="136">
        <f>Table8[[#This Row],[Netzbezug Real]]*real_zu_spiel_emissionsintensität_1*years_per_round</f>
        <v>82.5</v>
      </c>
      <c r="J35" s="136">
        <f>Table8[[#This Row],[Netzbezug Real]]*real_zu_spiel_emissionsintensität_2*years_per_round</f>
        <v>41.25</v>
      </c>
      <c r="K35" s="136">
        <f>Table8[[#This Row],[Netzbezug Real]]*real_zu_spiel_emissionsintensität_3*years_per_round</f>
        <v>24.75</v>
      </c>
      <c r="L35" s="136">
        <f>Table8[[#This Row],[Netzbezug Real]]*real_zu_spiel_emissionsintensität_4*years_per_round</f>
        <v>12.375</v>
      </c>
    </row>
    <row r="36" spans="1:12" ht="15.75" customHeight="1" x14ac:dyDescent="0.25">
      <c r="A36" s="104">
        <v>34</v>
      </c>
      <c r="B36" s="104">
        <f>Table8[[#This Row],[Netzbezug]]*real_zu_spiel_netzbezug</f>
        <v>170</v>
      </c>
      <c r="C36" s="104">
        <f>Table8[[#This Row],[Netzbezug Real]]*'Mapping RealwerteSpielwerte'!$B$27</f>
        <v>25.5</v>
      </c>
      <c r="D36" s="110">
        <v>-5</v>
      </c>
      <c r="E36" s="126">
        <f>Table8[[#This Row],[Netzbezug Real]]*real_zu_spiel_emissionsintensität_1*years_per_round</f>
        <v>85</v>
      </c>
      <c r="F36" s="126">
        <f>Table8[[#This Row],[Netzbezug Real]]*real_zu_spiel_emissionsintensität_2*years_per_round</f>
        <v>42.5</v>
      </c>
      <c r="G36" s="126">
        <f>Table8[[#This Row],[Netzbezug Real]]*real_zu_spiel_emissionsintensität_3*years_per_round</f>
        <v>25.5</v>
      </c>
      <c r="H36" s="126">
        <f>Table8[[#This Row],[Netzbezug Real]]*real_zu_spiel_emissionsintensität_4*years_per_round</f>
        <v>12.75</v>
      </c>
      <c r="I36" s="136">
        <f>Table8[[#This Row],[Netzbezug Real]]*real_zu_spiel_emissionsintensität_1*years_per_round</f>
        <v>85</v>
      </c>
      <c r="J36" s="136">
        <f>Table8[[#This Row],[Netzbezug Real]]*real_zu_spiel_emissionsintensität_2*years_per_round</f>
        <v>42.5</v>
      </c>
      <c r="K36" s="136">
        <f>Table8[[#This Row],[Netzbezug Real]]*real_zu_spiel_emissionsintensität_3*years_per_round</f>
        <v>25.5</v>
      </c>
      <c r="L36" s="136">
        <f>Table8[[#This Row],[Netzbezug Real]]*real_zu_spiel_emissionsintensität_4*years_per_round</f>
        <v>12.75</v>
      </c>
    </row>
    <row r="37" spans="1:12" ht="15.75" customHeight="1" x14ac:dyDescent="0.25">
      <c r="A37" s="104">
        <v>35</v>
      </c>
      <c r="B37" s="104">
        <f>Table8[[#This Row],[Netzbezug]]*real_zu_spiel_netzbezug</f>
        <v>175</v>
      </c>
      <c r="C37" s="104">
        <f>Table8[[#This Row],[Netzbezug Real]]*'Mapping RealwerteSpielwerte'!$B$27</f>
        <v>26.25</v>
      </c>
      <c r="D37" s="110">
        <v>-5</v>
      </c>
      <c r="E37" s="126">
        <f>Table8[[#This Row],[Netzbezug Real]]*real_zu_spiel_emissionsintensität_1*years_per_round</f>
        <v>87.5</v>
      </c>
      <c r="F37" s="126">
        <f>Table8[[#This Row],[Netzbezug Real]]*real_zu_spiel_emissionsintensität_2*years_per_round</f>
        <v>43.75</v>
      </c>
      <c r="G37" s="126">
        <f>Table8[[#This Row],[Netzbezug Real]]*real_zu_spiel_emissionsintensität_3*years_per_round</f>
        <v>26.25</v>
      </c>
      <c r="H37" s="126">
        <f>Table8[[#This Row],[Netzbezug Real]]*real_zu_spiel_emissionsintensität_4*years_per_round</f>
        <v>13.125</v>
      </c>
      <c r="I37" s="136">
        <f>Table8[[#This Row],[Netzbezug Real]]*real_zu_spiel_emissionsintensität_1*years_per_round</f>
        <v>87.5</v>
      </c>
      <c r="J37" s="136">
        <f>Table8[[#This Row],[Netzbezug Real]]*real_zu_spiel_emissionsintensität_2*years_per_round</f>
        <v>43.75</v>
      </c>
      <c r="K37" s="136">
        <f>Table8[[#This Row],[Netzbezug Real]]*real_zu_spiel_emissionsintensität_3*years_per_round</f>
        <v>26.25</v>
      </c>
      <c r="L37" s="136">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Thomas Verweyen</cp:lastModifiedBy>
  <dcterms:created xsi:type="dcterms:W3CDTF">2026-08-13T10:16:10Z</dcterms:created>
  <dcterms:modified xsi:type="dcterms:W3CDTF">2026-08-15T10:47:15Z</dcterms:modified>
</cp:coreProperties>
</file>