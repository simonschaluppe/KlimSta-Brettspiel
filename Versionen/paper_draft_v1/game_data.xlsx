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Komaromi\KlimSta-Brettspiel\Versionen\paper_draft_v1\"/>
    </mc:Choice>
  </mc:AlternateContent>
  <xr:revisionPtr revIDLastSave="0" documentId="13_ncr:1_{58B04A12-6EF0-4FBB-B1D9-19F7EC4CCA03}" xr6:coauthVersionLast="47" xr6:coauthVersionMax="47" xr10:uidLastSave="{00000000-0000-0000-0000-000000000000}"/>
  <bookViews>
    <workbookView xWindow="-120" yWindow="-120" windowWidth="29040" windowHeight="1764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D9" i="3"/>
  <c r="D12" i="3"/>
  <c r="D6" i="3"/>
  <c r="H52" i="2"/>
  <c r="H51" i="2"/>
  <c r="J11" i="1" l="1"/>
  <c r="J22" i="1"/>
  <c r="J3" i="1"/>
  <c r="I11" i="1"/>
  <c r="I22" i="1"/>
  <c r="I3" i="1"/>
  <c r="H11" i="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8"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29"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H17" i="1"/>
  <c r="H30" i="1"/>
  <c r="H44" i="1"/>
  <c r="H58" i="1"/>
  <c r="H72" i="1"/>
  <c r="H46" i="1"/>
  <c r="H74" i="1"/>
  <c r="H35" i="1"/>
  <c r="H13" i="1"/>
  <c r="H28" i="1"/>
  <c r="H19" i="1"/>
  <c r="H31" i="1"/>
  <c r="H45" i="1"/>
  <c r="H59" i="1"/>
  <c r="H73" i="1"/>
  <c r="H32" i="1"/>
  <c r="H63" i="1"/>
  <c r="H62" i="1"/>
  <c r="H27" i="1"/>
  <c r="H18" i="1"/>
  <c r="H2" i="1"/>
  <c r="H20" i="1"/>
  <c r="H33" i="1"/>
  <c r="H47" i="1"/>
  <c r="H61" i="1"/>
  <c r="H21" i="1"/>
  <c r="H34" i="1"/>
  <c r="H48" i="1"/>
  <c r="H15" i="1"/>
  <c r="H69" i="1"/>
  <c r="H42" i="1"/>
  <c r="H4" i="1"/>
  <c r="H5" i="1"/>
  <c r="H7" i="1"/>
  <c r="H23" i="1"/>
  <c r="H36" i="1"/>
  <c r="H50" i="1"/>
  <c r="H64" i="1"/>
  <c r="H65" i="1"/>
  <c r="H12" i="1"/>
  <c r="H68" i="1"/>
  <c r="H8" i="1"/>
  <c r="H24" i="1"/>
  <c r="H37" i="1"/>
  <c r="H51" i="1"/>
  <c r="H54" i="1"/>
  <c r="H14" i="1"/>
  <c r="H9" i="1"/>
  <c r="H25" i="1"/>
  <c r="H38" i="1"/>
  <c r="H52" i="1"/>
  <c r="H66" i="1"/>
  <c r="H26" i="1"/>
  <c r="H67" i="1"/>
  <c r="H55" i="1"/>
  <c r="H56" i="1"/>
  <c r="H10" i="1"/>
  <c r="H39" i="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J6" i="8" l="1"/>
  <c r="K6" i="8"/>
  <c r="AA48" i="1"/>
  <c r="AA11" i="1"/>
  <c r="AA3" i="1"/>
  <c r="AA22" i="1"/>
  <c r="AA67" i="1"/>
  <c r="AA46" i="1"/>
  <c r="AA14" i="1"/>
  <c r="AA59" i="1"/>
  <c r="AA66" i="1"/>
  <c r="AA64" i="1"/>
  <c r="K26" i="8"/>
  <c r="AA52" i="1"/>
  <c r="AA54" i="1"/>
  <c r="I24" i="8"/>
  <c r="H6" i="8"/>
  <c r="F6" i="8"/>
  <c r="AA55" i="1"/>
  <c r="F36" i="8"/>
  <c r="K27" i="8"/>
  <c r="AA18" i="1"/>
  <c r="AA71" i="1"/>
  <c r="J26" i="8"/>
  <c r="AA53" i="1"/>
  <c r="H36" i="8"/>
  <c r="AA58" i="1"/>
  <c r="AA37" i="1"/>
  <c r="I26" i="8"/>
  <c r="AA27" i="1"/>
  <c r="AA19" i="1"/>
  <c r="F28" i="8"/>
  <c r="E35" i="8"/>
  <c r="AA65" i="1"/>
  <c r="AA33" i="1"/>
  <c r="AA41" i="1"/>
  <c r="I10" i="8"/>
  <c r="G6" i="8"/>
  <c r="AA20" i="1"/>
  <c r="AA49" i="1"/>
  <c r="L6" i="8"/>
  <c r="AA40" i="1"/>
  <c r="AA2" i="1"/>
  <c r="I35" i="8"/>
  <c r="J28" i="8"/>
  <c r="G24" i="8"/>
  <c r="AA36" i="1"/>
  <c r="AA31" i="1"/>
  <c r="K33" i="8"/>
  <c r="E32" i="8"/>
  <c r="G33" i="8"/>
  <c r="AA10" i="1"/>
  <c r="AA38" i="1"/>
  <c r="AA43" i="1"/>
  <c r="I32" i="8"/>
  <c r="E33" i="8"/>
  <c r="H32" i="8"/>
  <c r="I6" i="8"/>
  <c r="AA8" i="1"/>
  <c r="AA30" i="1"/>
  <c r="E6" i="8"/>
  <c r="AA68" i="1"/>
  <c r="AA63" i="1"/>
  <c r="E30" i="8"/>
  <c r="J24" i="8"/>
  <c r="K32" i="8"/>
  <c r="I28" i="8"/>
  <c r="AA6" i="1"/>
  <c r="J25" i="8"/>
  <c r="AA73" i="1"/>
  <c r="AA69" i="1"/>
  <c r="F25" i="8"/>
  <c r="E29" i="8"/>
  <c r="K29" i="8"/>
  <c r="C29" i="8"/>
  <c r="G29" i="8"/>
  <c r="F29" i="8"/>
  <c r="E34" i="8"/>
  <c r="C34" i="8"/>
  <c r="K34" i="8"/>
  <c r="L23" i="8"/>
  <c r="K31" i="8"/>
  <c r="J29" i="8"/>
  <c r="I17" i="8"/>
  <c r="H17" i="8"/>
  <c r="AA26" i="1"/>
  <c r="AA51" i="1"/>
  <c r="AA50" i="1"/>
  <c r="AA15" i="1"/>
  <c r="AA45" i="1"/>
  <c r="AA72" i="1"/>
  <c r="AA60" i="1"/>
  <c r="G37" i="8"/>
  <c r="C37" i="8"/>
  <c r="C33" i="8"/>
  <c r="I33" i="8"/>
  <c r="F34" i="8"/>
  <c r="F27" i="8"/>
  <c r="L27" i="8"/>
  <c r="L33" i="8"/>
  <c r="G36" i="8"/>
  <c r="G31" i="8"/>
  <c r="I37" i="8"/>
  <c r="L31" i="8"/>
  <c r="L15" i="8"/>
  <c r="AA39" i="1"/>
  <c r="AA24" i="1"/>
  <c r="AA34" i="1"/>
  <c r="AA44" i="1"/>
  <c r="AA57" i="1"/>
  <c r="J31" i="8"/>
  <c r="H35" i="8"/>
  <c r="C35" i="8"/>
  <c r="J30" i="8"/>
  <c r="I30" i="8"/>
  <c r="C30" i="8"/>
  <c r="I29" i="8"/>
  <c r="H30" i="8"/>
  <c r="G30" i="8"/>
  <c r="I31" i="8"/>
  <c r="E23" i="8"/>
  <c r="G23" i="8"/>
  <c r="J23" i="8"/>
  <c r="I23" i="8"/>
  <c r="C23" i="8"/>
  <c r="H23" i="8"/>
  <c r="AA23" i="1"/>
  <c r="AA7" i="1"/>
  <c r="AA21" i="1"/>
  <c r="AA62" i="1"/>
  <c r="AA28" i="1"/>
  <c r="E26" i="8"/>
  <c r="C26" i="8"/>
  <c r="F26" i="8"/>
  <c r="F24" i="8"/>
  <c r="J27" i="8"/>
  <c r="H28" i="8"/>
  <c r="L25" i="8"/>
  <c r="K28" i="8"/>
  <c r="G28" i="8"/>
  <c r="H29" i="8"/>
  <c r="E28" i="8"/>
  <c r="C31" i="8"/>
  <c r="F31" i="8"/>
  <c r="AA56" i="1"/>
  <c r="AA25" i="1"/>
  <c r="AA5" i="1"/>
  <c r="AA61" i="1"/>
  <c r="AA13" i="1"/>
  <c r="AA17" i="1"/>
  <c r="AA29" i="1"/>
  <c r="L32" i="8"/>
  <c r="C32" i="8"/>
  <c r="H25" i="8"/>
  <c r="C25" i="8"/>
  <c r="L34" i="8"/>
  <c r="L29" i="8"/>
  <c r="E36" i="8"/>
  <c r="F23" i="8"/>
  <c r="L26" i="8"/>
  <c r="H37" i="8"/>
  <c r="G34" i="8"/>
  <c r="G25" i="8"/>
  <c r="G27" i="8"/>
  <c r="E37" i="8"/>
  <c r="F32" i="8"/>
  <c r="G10" i="8"/>
  <c r="J10" i="8"/>
  <c r="AA9" i="1"/>
  <c r="AA12" i="1"/>
  <c r="AA4" i="1"/>
  <c r="AA47" i="1"/>
  <c r="AA32" i="1"/>
  <c r="AA35" i="1"/>
  <c r="AA70" i="1"/>
  <c r="AA16" i="1"/>
  <c r="H24" i="8"/>
  <c r="K24" i="8"/>
  <c r="C24" i="8"/>
  <c r="J35" i="8"/>
  <c r="F37" i="8"/>
  <c r="F35" i="8"/>
  <c r="H31" i="8"/>
  <c r="L28" i="8"/>
  <c r="K35" i="8"/>
  <c r="G35" i="8"/>
  <c r="G26" i="8"/>
  <c r="I34" i="8"/>
  <c r="I27" i="8"/>
  <c r="E25" i="8"/>
  <c r="H34" i="8"/>
  <c r="K30" i="8"/>
  <c r="AA42" i="1"/>
  <c r="AA74"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<sst xmlns="http://schemas.openxmlformats.org/spreadsheetml/2006/main" count="1077" uniqueCount="520">
  <si>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</si>
  <si>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</si>
  <si>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</si>
  <si>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</si>
  <si>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</si>
  <si>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</si>
  <si>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</si>
  <si>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</si>
  <si>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</si>
  <si>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</si>
  <si>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</si>
  <si>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</si>
  <si>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</si>
  <si>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</si>
  <si>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</si>
  <si>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</si>
  <si>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</si>
  <si>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</si>
  <si>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</si>
  <si>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</si>
  <si>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</si>
  <si>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</si>
  <si>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</si>
  <si>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</si>
  <si>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</si>
  <si>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</si>
  <si>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</si>
  <si>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</si>
  <si>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</si>
  <si>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</si>
  <si>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</si>
  <si>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</si>
  <si>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</si>
  <si>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</si>
  <si>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</si>
  <si>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</si>
  <si>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</si>
  <si>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</si>
  <si>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</si>
  <si>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</si>
  <si>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</si>
  <si>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</si>
  <si>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</si>
  <si>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</si>
  <si>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</si>
  <si>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</si>
  <si>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</si>
  <si>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</si>
  <si>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</si>
  <si>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</si>
  <si>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</si>
  <si>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</si>
  <si>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</si>
  <si>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</si>
  <si>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</si>
  <si>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</si>
  <si>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</si>
  <si>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</si>
  <si>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</si>
  <si>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</si>
  <si>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</si>
  <si>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</si>
  <si>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</si>
  <si>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</si>
  <si>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</si>
  <si>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</si>
  <si>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</si>
  <si>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</si>
  <si>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</si>
  <si>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</si>
  <si>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</si>
  <si>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</si>
  <si>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</si>
  <si>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</si>
  <si>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</si>
  <si>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</si>
  <si>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</si>
  <si>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</si>
  <si>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</si>
  <si>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</si>
  <si>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</si>
  <si>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</si>
  <si>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</si>
  <si>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</si>
  <si>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</si>
  <si>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</si>
  <si>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</si>
  <si>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</si>
  <si>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</si>
  <si>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</si>
  <si>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</si>
  <si>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</si>
  <si>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</si>
  <si>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</si>
  <si>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</si>
  <si>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</si>
  <si>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</si>
  <si>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</si>
  <si>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</si>
  <si>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</si>
  <si>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</si>
  <si>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</si>
  <si>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</si>
  <si>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</si>
  <si>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</si>
  <si>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</si>
  <si>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</si>
  <si>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</si>
  <si>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</si>
  <si>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</si>
  <si>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</si>
  <si>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</si>
  <si>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</si>
  <si>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</si>
  <si>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</si>
  <si>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</si>
  <si>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</si>
  <si>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</si>
  <si>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</si>
  <si>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</si>
  <si>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</si>
  <si>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</si>
  <si>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</si>
  <si>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</si>
  <si>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</si>
  <si>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</si>
  <si>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</si>
  <si>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</si>
  <si>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</si>
  <si>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</si>
  <si>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</si>
  <si>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</si>
  <si>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</si>
  <si>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</si>
  <si>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</si>
  <si>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</si>
  <si>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</si>
  <si>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</si>
  <si>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</si>
  <si>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</si>
  <si>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</si>
  <si>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</si>
  <si>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</si>
  <si>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</si>
  <si>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</si>
  <si>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</si>
  <si>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</si>
  <si>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</si>
  <si>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</si>
  <si>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</si>
  <si>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</si>
  <si>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</si>
  <si>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</si>
  <si>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</si>
  <si>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</si>
  <si>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</si>
  <si>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</si>
  <si>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</si>
  <si>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</si>
  <si>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</si>
  <si>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</si>
  <si>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</si>
  <si>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</si>
  <si>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</si>
  <si>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</si>
  <si>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</si>
  <si>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</si>
  <si>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</si>
  <si>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</si>
  <si>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</si>
  <si>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</si>
  <si>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</si>
  <si>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</si>
  <si>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</si>
  <si>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</si>
  <si>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</si>
  <si>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</si>
  <si>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</si>
  <si>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</si>
  <si>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</si>
  <si>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</si>
  <si>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</si>
  <si>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</si>
  <si>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</si>
  <si>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</si>
  <si>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</si>
  <si>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</si>
  <si>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</si>
  <si>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</si>
  <si>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</si>
  <si>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</si>
  <si>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</si>
  <si>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</si>
  <si>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</si>
  <si>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</si>
  <si>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</si>
  <si>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</si>
  <si>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</si>
  <si>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</si>
  <si>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</si>
  <si>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</si>
  <si>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</si>
  <si>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</si>
  <si>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</si>
  <si>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</si>
  <si>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</si>
  <si>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</si>
  <si>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</si>
  <si>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</si>
  <si>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</si>
  <si>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</si>
  <si>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</si>
  <si>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</si>
  <si>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</si>
  <si>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</si>
  <si>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</si>
  <si>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</si>
  <si>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</si>
  <si>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</si>
  <si>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</si>
  <si>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</si>
  <si>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</si>
  <si>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</si>
  <si>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</si>
  <si>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</si>
  <si>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</si>
  <si>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</si>
  <si>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</si>
  <si>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</si>
  <si>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</si>
  <si>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</si>
  <si>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</si>
  <si>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</si>
  <si>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</si>
  <si>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</si>
  <si>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</si>
  <si>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</si>
  <si>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</si>
  <si>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</si>
  <si>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</si>
  <si>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</si>
  <si>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</si>
  <si>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</si>
  <si>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</si>
  <si>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</si>
  <si>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</si>
  <si>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</si>
  <si>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</si>
  <si>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</si>
  <si>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</si>
  <si>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</si>
  <si>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</si>
  <si>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</si>
  <si>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</si>
  <si>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</si>
  <si>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</si>
  <si>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</si>
  <si>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</si>
  <si>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</si>
  <si>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</si>
  <si>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</si>
  <si>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</si>
  <si>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</si>
  <si>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</si>
  <si>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</si>
  <si>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</si>
  <si>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</si>
  <si>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</si>
  <si>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</si>
  <si>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</si>
  <si>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</si>
  <si>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</si>
  <si>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</si>
  <si>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</si>
  <si>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</si>
  <si>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</si>
  <si>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</si>
  <si>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</si>
  <si>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</si>
  <si>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</si>
  <si>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</si>
  <si>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</si>
  <si>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</si>
  <si>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</si>
  <si>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</si>
  <si>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</si>
  <si>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</si>
  <si>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</si>
  <si>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</si>
  <si>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</si>
  <si>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</si>
  <si>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</si>
  <si>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</si>
  <si>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</si>
  <si>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</si>
  <si>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</si>
  <si>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</si>
  <si>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</si>
  <si>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</si>
  <si>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</si>
  <si>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</si>
  <si>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</si>
  <si>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</si>
  <si>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</si>
  <si>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</si>
  <si>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</si>
  <si>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</si>
  <si>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</si>
  <si>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</si>
  <si>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</si>
  <si>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</si>
  <si>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</si>
  <si>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</si>
  <si>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</si>
  <si>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</si>
  <si>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</si>
  <si>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</si>
  <si>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</si>
  <si>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</si>
  <si>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</si>
  <si>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</si>
  <si>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</si>
  <si>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</si>
  <si>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</si>
  <si>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</si>
  <si>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</si>
  <si>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</si>
  <si>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</si>
  <si>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</si>
  <si>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</si>
  <si>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</si>
  <si>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</si>
  <si>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</si>
  <si>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</si>
  <si>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</si>
  <si>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</si>
  <si>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</si>
  <si>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</si>
  <si>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</si>
  <si>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</si>
  <si>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</si>
  <si>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</si>
  <si>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</si>
  <si>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</si>
  <si>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</si>
  <si>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</si>
  <si>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</si>
  <si>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</si>
  <si>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</si>
  <si>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</si>
  <si>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</si>
  <si>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</si>
  <si>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</si>
  <si>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</si>
  <si>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</si>
  <si>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</si>
  <si>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</si>
  <si>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</si>
  <si>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</si>
  <si>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</si>
  <si>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</si>
  <si>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</si>
  <si>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</si>
  <si>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"Effizienteste Haushaltsgeräte können den dStromverbrauch deutlich reduzieren"</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</si>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</sst>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82">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3" fillId="10" borderId="0" xfId="0" applyFont="1" applyFill="1" applyBorder="1" applyAlignment="1">
      <alignment vertical="center"/>
    </xf>
    <xf numFmtId="0" fontId="3" fillId="11" borderId="0" xfId="0" applyFont="1" applyFill="1" applyBorder="1" applyAlignment="1">
      <alignment vertical="center"/>
    </xf>
    <xf numFmtId="0" fontId="2" fillId="11" borderId="0" xfId="0" applyFont="1" applyFill="1" applyBorder="1" applyAlignment="1">
      <alignment vertical="center"/>
    </xf>
    <xf numFmtId="0" fontId="2" fillId="10" borderId="12" xfId="0" applyFont="1" applyFill="1" applyBorder="1" applyAlignment="1">
      <alignment vertical="center"/>
    </xf>
    <xf numFmtId="0" fontId="2" fillId="10" borderId="0"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5" fillId="10" borderId="0" xfId="0" applyFont="1" applyFill="1" applyBorder="1" applyAlignment="1">
      <alignment vertical="center"/>
    </xf>
    <xf numFmtId="0" fontId="6" fillId="11" borderId="0" xfId="0" applyFont="1" applyFill="1" applyBorder="1" applyAlignment="1">
      <alignment vertical="center"/>
    </xf>
    <xf numFmtId="0" fontId="10" fillId="10" borderId="0" xfId="0" applyFont="1" applyFill="1" applyBorder="1" applyAlignment="1">
      <alignment vertical="center"/>
    </xf>
    <xf numFmtId="0" fontId="2" fillId="11" borderId="0" xfId="0" applyFont="1" applyFill="1" applyBorder="1" applyAlignment="1">
      <alignment horizontal="right" vertical="center"/>
    </xf>
  </cellXfs>
  <cellStyles count="1">
    <cellStyle name="Standard"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44"/>
    <tableColumn id="29" xr3:uid="{72D078EE-AFE3-4A52-8003-A58627C25CA2}" name="label_en" dataDxfId="43"/>
    <tableColumn id="32" xr3:uid="{D1521BBE-0616-493B-BDF6-3AEC7CA020A0}" name="Voraussetzungen Texte" dataDxfId="42"/>
    <tableColumn id="33" xr3:uid="{6F4BF62A-979E-43AB-ABD6-53BF07DD5B1B}" name="Quelle" dataDxfId="41"/>
    <tableColumn id="34" xr3:uid="{F81BB5CE-78DC-40D3-9304-7BFD2B325C54}" name="Page" dataDxfId="40"/>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calculatedColumnFormula>-Table6_2[[#This Row],[Gas Real]]*'Mapping RealwerteSpielwerte'!$C$23+heizkosten_baseline</calculatedColumnFormula>
    </tableColumn>
    <tableColumn id="3" xr3:uid="{00000000-0010-0000-0500-000003000000}" name="Biomasse" dataDxfId="22">
      <calculatedColumnFormula>-Table6_2[[#This Row],[Biomasse Real]]*'Mapping RealwerteSpielwerte'!$C$24+heizkosten_baseline</calculatedColumnFormula>
    </tableColumn>
    <tableColumn id="4" xr3:uid="{00000000-0010-0000-0500-000004000000}" name="Fernwärme" dataDxfId="21">
      <calculatedColumnFormula>-Table6_2[[#This Row],[Fernwärme Real]]*'Mapping RealwerteSpielwerte'!$C$25+heizkosten_baseline</calculatedColumnFormula>
    </tableColumn>
    <tableColumn id="5" xr3:uid="{00000000-0010-0000-0500-000005000000}" name="Grünes Gas" dataDxfId="20">
      <calculatedColumnFormula>-Table6_2[[#This Row],[Grünes Gas Real]]*'Mapping RealwerteSpielwerte'!$C$26+heizkosten_baseline</calculatedColumnFormula>
    </tableColumn>
    <tableColumn id="6" xr3:uid="{00000000-0010-0000-0500-000006000000}" name="Wärmepumpe" dataDxfId="19">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klimaaktiv.at/fileadmin/Bibliothek/Publikationen/2025_Sanierung_Heizungsumstellung.pdf" TargetMode="External"/><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klimaaktiv.at/fileadmin/Bibliothek/Publikationen/2025_Sanierung_Heizungsumstellung.pdf" TargetMode="External"/><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L1002"/>
  <sheetViews>
    <sheetView tabSelected="1" zoomScale="90" zoomScaleNormal="90" workbookViewId="0">
      <pane ySplit="1" topLeftCell="A2" activePane="bottomLeft" state="frozen"/>
      <selection pane="bottomLeft" activeCell="Y8" sqref="Y8"/>
    </sheetView>
  </sheetViews>
  <sheetFormatPr baseColWidth="10" defaultColWidth="12.5703125" defaultRowHeight="15.75" customHeight="1" x14ac:dyDescent="0.2"/>
  <cols>
    <col min="1" max="1" width="30.5703125" customWidth="1"/>
    <col min="3" max="3" width="33.42578125" customWidth="1"/>
    <col min="5" max="5" width="16" customWidth="1"/>
    <col min="6" max="10" width="6.85546875" customWidth="1"/>
    <col min="11" max="11" width="11.140625" style="121" customWidth="1"/>
    <col min="12" max="17" width="6.85546875" customWidth="1"/>
    <col min="18" max="25" width="9.42578125" customWidth="1"/>
    <col min="26" max="26" width="23.7109375" customWidth="1"/>
    <col min="27" max="27" width="19.85546875" customWidth="1"/>
    <col min="28" max="28" width="19.42578125" customWidth="1"/>
    <col min="29" max="29" width="17.85546875" customWidth="1"/>
    <col min="30" max="31" width="29.140625" customWidth="1"/>
    <col min="32" max="32" width="33.42578125" customWidth="1"/>
    <col min="33" max="33" width="44.5703125" customWidth="1"/>
    <col min="34" max="35" width="35.140625" customWidth="1"/>
    <col min="36" max="36" width="51" customWidth="1"/>
    <col min="37" max="37" width="19.5703125" customWidth="1"/>
    <col min="38" max="38" width="12.42578125" customWidth="1"/>
  </cols>
  <sheetData>
    <row r="1" spans="1:34" ht="149.25" customHeight="1" x14ac:dyDescent="0.2">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419</v>
      </c>
      <c r="X1" s="3" t="s">
        <v>21</v>
      </c>
      <c r="Y1" s="3" t="s">
        <v>22</v>
      </c>
      <c r="Z1" s="3" t="s">
        <v>23</v>
      </c>
      <c r="AA1" t="s">
        <v>345</v>
      </c>
      <c r="AB1" t="s">
        <v>104</v>
      </c>
      <c r="AC1" s="2" t="s">
        <v>105</v>
      </c>
      <c r="AD1" s="164" t="s">
        <v>431</v>
      </c>
      <c r="AE1" s="2" t="s">
        <v>103</v>
      </c>
      <c r="AF1" s="1" t="s">
        <v>106</v>
      </c>
      <c r="AG1" s="1" t="s">
        <v>107</v>
      </c>
      <c r="AH1" s="1" t="s">
        <v>108</v>
      </c>
    </row>
    <row r="2" spans="1:34" ht="22.5" customHeight="1" x14ac:dyDescent="0.2">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c r="X2" s="40"/>
      <c r="Y2" s="40"/>
      <c r="Z2" s="40"/>
      <c r="AA2" t="str">
        <f>_xlfn.TEXTJOIN(
"XX",
TRUE,
IF(OR(F2="",F2=0),"",REPT(IF(F2&gt;0,"EN","EM"),ABS(F2))),
IF(OR(H2="",H2=0),"",REPT(IF(H2&gt;0,"BM","BP"),ABS(H2))),
REPT("SP",I2),
REPT("FL",J2),
REPT("WS",K2),
REPT("EF",L2),
IF(OR(M2="",M2=0),"",REPT(IF(M2&gt;0,"ZU","ZM"),ABS(M2))),
IF(D2="FW","XXFW",IF(D2="BIO","XXBI",IF(D2="ABWWP","XXWP",IF(D2="WP","XXWP",IF(D2="GG","XXGG","")))))
)</f>
        <v>SP</v>
      </c>
      <c r="AB2" t="s">
        <v>357</v>
      </c>
      <c r="AC2" s="14" t="s">
        <v>195</v>
      </c>
      <c r="AD2" s="166" t="s">
        <v>482</v>
      </c>
      <c r="AE2" s="14" t="s">
        <v>193</v>
      </c>
      <c r="AF2" s="49" t="s">
        <v>139</v>
      </c>
      <c r="AG2" s="49"/>
      <c r="AH2" s="49"/>
    </row>
    <row r="3" spans="1:34" ht="22.5" customHeight="1" x14ac:dyDescent="0.2">
      <c r="A3" s="44" t="s">
        <v>355</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c r="X3" s="172"/>
      <c r="Y3" s="43"/>
      <c r="Z3" s="173"/>
      <c r="AA3" t="str">
        <f>_xlfn.TEXTJOIN(
"XX",
TRUE,
IF(OR(F3="",F3=0),"",REPT(IF(F3&gt;0,"EN","EM"),ABS(F3))),
IF(OR(H3="",H3=0),"",REPT(IF(H3&gt;0,"BM","BP"),ABS(H3))),
REPT("SP",I3),
REPT("FL",J3),
REPT("WS",K3),
REPT("EF",L3),
IF(OR(M3="",M3=0),"",REPT(IF(M3&gt;0,"ZU","ZM"),ABS(M3))),
IF(D3="FW","XXFW",IF(D3="BIO","XXBI",IF(D3="ABWWP","XXWP",IF(D3="WP","XXWP",IF(D3="GG","XXGG","")))))
)</f>
        <v>EM</v>
      </c>
      <c r="AB3" t="s">
        <v>371</v>
      </c>
      <c r="AC3" s="45"/>
      <c r="AD3" s="166" t="s">
        <v>438</v>
      </c>
      <c r="AE3" s="62" t="s">
        <v>355</v>
      </c>
      <c r="AF3" s="45"/>
      <c r="AG3" s="45"/>
      <c r="AH3" s="45"/>
    </row>
    <row r="4" spans="1:34" ht="22.5" customHeight="1" x14ac:dyDescent="0.2">
      <c r="A4" s="56" t="s">
        <v>48</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c r="X4" s="43"/>
      <c r="Y4" s="43"/>
      <c r="Z4" s="43"/>
      <c r="AA4" t="str">
        <f>_xlfn.TEXTJOIN(
"XX",
TRUE,
IF(OR(F4="",F4=0),"",REPT(IF(F4&gt;0,"EN","EM"),ABS(F4))),
IF(OR(H4="",H4=0),"",REPT(IF(H4&gt;0,"BM","BP"),ABS(H4))),
REPT("SP",I4),
REPT("FL",J4),
REPT("WS",K4),
REPT("EF",L4),
IF(OR(M4="",M4=0),"",REPT(IF(M4&gt;0,"ZU","ZM"),ABS(M4))),
IF(D4="FW","XXFW",IF(D4="BIO","XXBI",IF(D4="ABWWP","XXWP",IF(D4="WP","XXWP",IF(D4="GG","XXGG","")))))
)</f>
        <v>EMXXBM</v>
      </c>
      <c r="AB4" t="s">
        <v>358</v>
      </c>
      <c r="AC4" s="132" t="s">
        <v>201</v>
      </c>
      <c r="AD4" s="166" t="s">
        <v>488</v>
      </c>
      <c r="AE4" s="55" t="s">
        <v>487</v>
      </c>
      <c r="AF4" s="42" t="s">
        <v>139</v>
      </c>
      <c r="AG4" s="42"/>
      <c r="AH4" s="42"/>
    </row>
    <row r="5" spans="1:34" ht="22.5" customHeight="1" x14ac:dyDescent="0.2">
      <c r="A5" s="58" t="s">
        <v>52</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420</v>
      </c>
      <c r="X5" s="53" t="s">
        <v>0</v>
      </c>
      <c r="Y5" s="53"/>
      <c r="Z5" s="102" t="s">
        <v>51</v>
      </c>
      <c r="AA5" t="str">
        <f>_xlfn.TEXTJOIN(
"XX",
TRUE,
IF(OR(F5="",F5=0),"",REPT(IF(F5&gt;0,"EN","EM"),ABS(F5))),
IF(OR(H5="",H5=0),"",REPT(IF(H5&gt;0,"BM","BP"),ABS(H5))),
REPT("SP",I5),
REPT("FL",J5),
REPT("WS",K5),
REPT("EF",L5),
IF(OR(M5="",M5=0),"",REPT(IF(M5&gt;0,"ZU","ZM"),ABS(M5))),
IF(D5="FW","XXFW",IF(D5="BIO","XXBI",IF(D5="ABWWP","XXWP",IF(D5="WP","XXWP",IF(D5="GG","XXGG","")))))
)</f>
        <v>SPSPSPSP</v>
      </c>
      <c r="AB5" t="s">
        <v>359</v>
      </c>
      <c r="AC5" s="52" t="s">
        <v>197</v>
      </c>
      <c r="AD5" s="166" t="s">
        <v>490</v>
      </c>
      <c r="AE5" s="136" t="s">
        <v>489</v>
      </c>
      <c r="AF5" s="45" t="s">
        <v>139</v>
      </c>
      <c r="AG5" s="45"/>
      <c r="AH5" s="45"/>
    </row>
    <row r="6" spans="1:34" ht="22.5" customHeight="1" x14ac:dyDescent="0.2">
      <c r="A6" s="12" t="s">
        <v>74</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c r="X6" s="40"/>
      <c r="Y6" s="40"/>
      <c r="Z6" s="40"/>
      <c r="AA6" t="str">
        <f>_xlfn.TEXTJOIN(
"XX",
TRUE,
IF(OR(F6="",F6=0),"",REPT(IF(F6&gt;0,"EN","EM"),ABS(F6))),
IF(OR(H6="",H6=0),"",REPT(IF(H6&gt;0,"BM","BP"),ABS(H6))),
REPT("SP",I6),
REPT("FL",J6),
REPT("WS",K6),
REPT("EF",L6),
IF(OR(M6="",M6=0),"",REPT(IF(M6&gt;0,"ZU","ZM"),ABS(M6))),
IF(D6="FW","XXFW",IF(D6="BIO","XXBI",IF(D6="ABWWP","XXWP",IF(D6="WP","XXWP",IF(D6="GG","XXGG","")))))
)</f>
        <v>BP</v>
      </c>
      <c r="AB6" t="s">
        <v>360</v>
      </c>
      <c r="AC6" s="14" t="s">
        <v>199</v>
      </c>
      <c r="AD6" s="166" t="s">
        <v>502</v>
      </c>
      <c r="AE6" s="14" t="s">
        <v>501</v>
      </c>
      <c r="AF6" s="49" t="s">
        <v>139</v>
      </c>
      <c r="AG6" s="49"/>
      <c r="AH6" s="86">
        <v>33</v>
      </c>
    </row>
    <row r="7" spans="1:34" ht="22.5" customHeight="1" x14ac:dyDescent="0.2">
      <c r="A7" s="33" t="s">
        <v>99</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421</v>
      </c>
      <c r="X7" s="53" t="s">
        <v>3</v>
      </c>
      <c r="Y7" s="53" t="s">
        <v>26</v>
      </c>
      <c r="Z7" s="32"/>
      <c r="AA7" t="str">
        <f>_xlfn.TEXTJOIN(
"XX",
TRUE,
IF(OR(F7="",F7=0),"",REPT(IF(F7&gt;0,"EN","EM"),ABS(F7))),
IF(OR(H7="",H7=0),"",REPT(IF(H7&gt;0,"BM","BP"),ABS(H7))),
REPT("SP",I7),
REPT("FL",J7),
REPT("WS",K7),
REPT("EF",L7),
IF(OR(M7="",M7=0),"",REPT(IF(M7&gt;0,"ZU","ZM"),ABS(M7))),
IF(D7="FW","XXFW",IF(D7="BIO","XXBI",IF(D7="ABWWP","XXWP",IF(D7="WP","XXWP",IF(D7="GG","XXGG","")))))
)</f>
        <v>EF</v>
      </c>
      <c r="AB7" t="s">
        <v>361</v>
      </c>
      <c r="AC7" s="64" t="s">
        <v>204</v>
      </c>
      <c r="AD7" s="166" t="s">
        <v>477</v>
      </c>
      <c r="AE7" s="64" t="s">
        <v>202</v>
      </c>
      <c r="AF7" s="35" t="s">
        <v>205</v>
      </c>
      <c r="AG7" s="35"/>
      <c r="AH7" s="35"/>
    </row>
    <row r="8" spans="1:34" ht="22.5" customHeight="1" x14ac:dyDescent="0.2">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f>Table1[[#This Row],[REAL Stromspeicher]]/real_zu_spiel_stromspeicher</f>
        <v>4</v>
      </c>
      <c r="K8" s="21"/>
      <c r="L8" s="39"/>
      <c r="M8" s="47">
        <v>-1</v>
      </c>
      <c r="N8" s="48"/>
      <c r="O8" s="25"/>
      <c r="P8" s="16"/>
      <c r="Q8" s="17"/>
      <c r="R8" s="18">
        <v>-10</v>
      </c>
      <c r="S8" s="19"/>
      <c r="T8" s="51">
        <v>20</v>
      </c>
      <c r="U8" s="21"/>
      <c r="V8" s="39"/>
      <c r="W8" s="82" t="s">
        <v>422</v>
      </c>
      <c r="X8" s="32" t="s">
        <v>0</v>
      </c>
      <c r="Y8" s="41" t="s">
        <v>353</v>
      </c>
      <c r="Z8" s="174"/>
      <c r="AA8" t="str">
        <f>_xlfn.TEXTJOIN(
"XX",
TRUE,
IF(OR(F8="",F8=0),"",REPT(IF(F8&gt;0,"EN","EM"),ABS(F8))),
IF(OR(H8="",H8=0),"",REPT(IF(H8&gt;0,"BM","BP"),ABS(H8))),
REPT("SP",I8),
REPT("FL",J8),
REPT("WS",K8),
REPT("EF",L8),
IF(OR(M8="",M8=0),"",REPT(IF(M8&gt;0,"ZU","ZM"),ABS(M8))),
IF(D8="FW","XXFW",IF(D8="BIO","XXBI",IF(D8="ABWWP","XXWP",IF(D8="WP","XXWP",IF(D8="GG","XXGG","")))))
)</f>
        <v>BPBPXXFLFLFLFLXXZM</v>
      </c>
      <c r="AB8" t="s">
        <v>362</v>
      </c>
      <c r="AC8" s="14" t="s">
        <v>185</v>
      </c>
      <c r="AD8" s="166" t="s">
        <v>436</v>
      </c>
      <c r="AE8" s="14" t="s">
        <v>183</v>
      </c>
      <c r="AF8" s="49" t="s">
        <v>139</v>
      </c>
      <c r="AG8" s="49"/>
      <c r="AH8" s="49"/>
    </row>
    <row r="9" spans="1:34" ht="22.5" customHeight="1" x14ac:dyDescent="0.2">
      <c r="A9" s="33" t="s">
        <v>49</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421</v>
      </c>
      <c r="X9" s="32" t="s">
        <v>3</v>
      </c>
      <c r="Y9" s="32" t="s">
        <v>26</v>
      </c>
      <c r="Z9" s="175"/>
      <c r="AA9" t="str">
        <f>_xlfn.TEXTJOIN(
"XX",
TRUE,
IF(OR(F9="",F9=0),"",REPT(IF(F9&gt;0,"EN","EM"),ABS(F9))),
IF(OR(H9="",H9=0),"",REPT(IF(H9&gt;0,"BM","BP"),ABS(H9))),
REPT("SP",I9),
REPT("FL",J9),
REPT("WS",K9),
REPT("EF",L9),
IF(OR(M9="",M9=0),"",REPT(IF(M9&gt;0,"ZU","ZM"),ABS(M9))),
IF(D9="FW","XXFW",IF(D9="BIO","XXBI",IF(D9="ABWWP","XXWP",IF(D9="WP","XXWP",IF(D9="GG","XXGG","")))))
)</f>
        <v>BP</v>
      </c>
      <c r="AB9" t="s">
        <v>363</v>
      </c>
      <c r="AC9" s="35"/>
      <c r="AD9" s="165" t="s">
        <v>485</v>
      </c>
      <c r="AE9" s="167" t="s">
        <v>486</v>
      </c>
      <c r="AF9" s="35" t="s">
        <v>139</v>
      </c>
      <c r="AG9" s="35"/>
      <c r="AH9" s="35"/>
    </row>
    <row r="10" spans="1:34" ht="22.5" customHeight="1" x14ac:dyDescent="0.2">
      <c r="A10" s="41" t="s">
        <v>61</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c r="X10" s="43"/>
      <c r="Y10" s="43"/>
      <c r="Z10" s="163"/>
      <c r="AA10" t="str">
        <f>_xlfn.TEXTJOIN(
"XX",
TRUE,
IF(OR(F10="",F10=0),"",REPT(IF(F10&gt;0,"EN","EM"),ABS(F10))),
IF(OR(H10="",H10=0),"",REPT(IF(H10&gt;0,"BM","BP"),ABS(H10))),
REPT("SP",I10),
REPT("FL",J10),
REPT("WS",K10),
REPT("EF",L10),
IF(OR(M10="",M10=0),"",REPT(IF(M10&gt;0,"ZU","ZM"),ABS(M10))),
IF(D10="FW","XXFW",IF(D10="BIO","XXBI",IF(D10="ABWWP","XXWP",IF(D10="WP","XXWP",IF(D10="GG","XXGG","")))))
)</f>
        <v>BMXXFLFLFLFLXXZM</v>
      </c>
      <c r="AB10" t="s">
        <v>364</v>
      </c>
      <c r="AC10" s="42"/>
      <c r="AD10" s="165" t="s">
        <v>492</v>
      </c>
      <c r="AE10" s="169" t="s">
        <v>493</v>
      </c>
      <c r="AF10" s="42" t="s">
        <v>139</v>
      </c>
      <c r="AG10" s="42"/>
      <c r="AH10" s="42"/>
    </row>
    <row r="11" spans="1:34" ht="22.5" customHeight="1" x14ac:dyDescent="0.2">
      <c r="A11" s="54" t="s">
        <v>347</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430</v>
      </c>
      <c r="X11" s="56"/>
      <c r="Y11" s="40"/>
      <c r="Z11" s="56"/>
      <c r="AA11" t="str">
        <f>_xlfn.TEXTJOIN(
"XX",
TRUE,
IF(OR(F11="",F11=0),"",REPT(IF(F11&gt;0,"EN","EM"),ABS(F11))),
IF(OR(H11="",H11=0),"",REPT(IF(H11&gt;0,"BM","BP"),ABS(H11))),
REPT("SP",I11),
REPT("FL",J11),
REPT("WS",K11),
REPT("EF",L11),
IF(OR(M11="",M11=0),"",REPT(IF(M11&gt;0,"ZU","ZM"),ABS(M11))),
IF(D11="FW","XXFW",IF(D11="BIO","XXBI",IF(D11="ABWWP","XXWP",IF(D11="WP","XXWP",IF(D11="GG","XXGG","")))))
)</f>
        <v/>
      </c>
      <c r="AB11" t="s">
        <v>366</v>
      </c>
      <c r="AC11" s="141"/>
      <c r="AD11" s="166" t="s">
        <v>448</v>
      </c>
      <c r="AE11" s="131" t="s">
        <v>348</v>
      </c>
      <c r="AF11" s="45" t="s">
        <v>350</v>
      </c>
      <c r="AG11" s="45"/>
      <c r="AH11" s="45"/>
    </row>
    <row r="12" spans="1:34" ht="22.5" customHeight="1" x14ac:dyDescent="0.2">
      <c r="A12" s="170" t="s">
        <v>65</v>
      </c>
      <c r="B12" s="34" t="s">
        <v>36</v>
      </c>
      <c r="C12" s="14">
        <v>1</v>
      </c>
      <c r="D12" s="172"/>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423</v>
      </c>
      <c r="X12" s="43" t="s">
        <v>0</v>
      </c>
      <c r="Y12" s="43"/>
      <c r="Z12" s="102" t="s">
        <v>73</v>
      </c>
      <c r="AA12" t="str">
        <f>_xlfn.TEXTJOIN(
"XX",
TRUE,
IF(OR(F12="",F12=0),"",REPT(IF(F12&gt;0,"EN","EM"),ABS(F12))),
IF(OR(H12="",H12=0),"",REPT(IF(H12&gt;0,"BM","BP"),ABS(H12))),
REPT("SP",I12),
REPT("FL",J12),
REPT("WS",K12),
REPT("EF",L12),
IF(OR(M12="",M12=0),"",REPT(IF(M12&gt;0,"ZU","ZM"),ABS(M12))),
IF(D12="FW","XXFW",IF(D12="BIO","XXBI",IF(D12="ABWWP","XXWP",IF(D12="WP","XXWP",IF(D12="GG","XXGG","")))))
)</f>
        <v>FLFLFLFLFL</v>
      </c>
      <c r="AB12" t="s">
        <v>365</v>
      </c>
      <c r="AC12" s="142"/>
      <c r="AD12" s="166" t="s">
        <v>498</v>
      </c>
      <c r="AE12" s="132" t="s">
        <v>497</v>
      </c>
      <c r="AF12" s="42" t="s">
        <v>139</v>
      </c>
      <c r="AG12" s="42"/>
      <c r="AH12" s="42"/>
    </row>
    <row r="13" spans="1:34" ht="22.5" customHeight="1" x14ac:dyDescent="0.2">
      <c r="A13" s="56" t="s">
        <v>73</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424</v>
      </c>
      <c r="X13" s="102" t="s">
        <v>0</v>
      </c>
      <c r="Y13" s="40"/>
      <c r="Z13" s="102" t="s">
        <v>65</v>
      </c>
      <c r="AA13" t="str">
        <f>_xlfn.TEXTJOIN(
"XX",
TRUE,
IF(OR(F13="",F13=0),"",REPT(IF(F13&gt;0,"EN","EM"),ABS(F13))),
IF(OR(H13="",H13=0),"",REPT(IF(H13&gt;0,"BM","BP"),ABS(H13))),
REPT("SP",I13),
REPT("FL",J13),
REPT("WS",K13),
REPT("EF",L13),
IF(OR(M13="",M13=0),"",REPT(IF(M13&gt;0,"ZU","ZM"),ABS(M13))),
IF(D13="FW","XXFW",IF(D13="BIO","XXBI",IF(D13="ABWWP","XXWP",IF(D13="WP","XXWP",IF(D13="GG","XXGG","")))))
)</f>
        <v>FLFL</v>
      </c>
      <c r="AB13" t="s">
        <v>365</v>
      </c>
      <c r="AC13" s="141"/>
      <c r="AD13" s="166" t="s">
        <v>500</v>
      </c>
      <c r="AE13" s="131" t="s">
        <v>499</v>
      </c>
      <c r="AF13" s="35"/>
      <c r="AG13" s="35"/>
      <c r="AH13" s="35"/>
    </row>
    <row r="14" spans="1:34" ht="22.5" customHeight="1" x14ac:dyDescent="0.2">
      <c r="A14" s="44" t="s">
        <v>93</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421</v>
      </c>
      <c r="X14" s="53" t="s">
        <v>3</v>
      </c>
      <c r="Y14" s="53" t="s">
        <v>26</v>
      </c>
      <c r="Z14" s="53"/>
      <c r="AA14" t="str">
        <f>_xlfn.TEXTJOIN(
"XX",
TRUE,
IF(OR(F14="",F14=0),"",REPT(IF(F14&gt;0,"EN","EM"),ABS(F14))),
IF(OR(H14="",H14=0),"",REPT(IF(H14&gt;0,"BM","BP"),ABS(H14))),
REPT("SP",I14),
REPT("FL",J14),
REPT("WS",K14),
REPT("EF",L14),
IF(OR(M14="",M14=0),"",REPT(IF(M14&gt;0,"ZU","ZM"),ABS(M14))),
IF(D14="FW","XXFW",IF(D14="BIO","XXBI",IF(D14="ABWWP","XXWP",IF(D14="WP","XXWP",IF(D14="GG","XXGG","")))))
)</f>
        <v>FLFLXXZM</v>
      </c>
      <c r="AB14" t="s">
        <v>367</v>
      </c>
      <c r="AC14" s="42"/>
      <c r="AD14" s="165" t="s">
        <v>515</v>
      </c>
      <c r="AE14" s="169" t="s">
        <v>514</v>
      </c>
      <c r="AF14" s="42" t="s">
        <v>189</v>
      </c>
      <c r="AG14" s="42"/>
      <c r="AH14" s="42"/>
    </row>
    <row r="15" spans="1:34" ht="22.5" customHeight="1" x14ac:dyDescent="0.2">
      <c r="A15" s="12" t="s">
        <v>346</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c r="X15" s="32"/>
      <c r="Y15" s="32"/>
      <c r="Z15" s="32"/>
      <c r="AA15" t="str">
        <f>_xlfn.TEXTJOIN(
"XX",
TRUE,
IF(OR(F15="",F15=0),"",REPT(IF(F15&gt;0,"EN","EM"),ABS(F15))),
IF(OR(H15="",H15=0),"",REPT(IF(H15&gt;0,"BM","BP"),ABS(H15))),
REPT("SP",I15),
REPT("FL",J15),
REPT("WS",K15),
REPT("EF",L15),
IF(OR(M15="",M15=0),"",REPT(IF(M15&gt;0,"ZU","ZM"),ABS(M15))),
IF(D15="FW","XXFW",IF(D15="BIO","XXBI",IF(D15="ABWWP","XXWP",IF(D15="WP","XXWP",IF(D15="GG","XXGG","")))))
)</f>
        <v>ZU</v>
      </c>
      <c r="AB15" t="s">
        <v>375</v>
      </c>
      <c r="AC15" s="49"/>
      <c r="AD15" s="166" t="s">
        <v>435</v>
      </c>
      <c r="AE15" s="14" t="s">
        <v>265</v>
      </c>
      <c r="AF15" s="171" t="s">
        <v>139</v>
      </c>
      <c r="AG15" s="35"/>
      <c r="AH15" s="35"/>
    </row>
    <row r="16" spans="1:34" ht="22.5" customHeight="1" x14ac:dyDescent="0.2">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c r="X16" s="43"/>
      <c r="Y16" s="43"/>
      <c r="Z16" s="162"/>
      <c r="AA16" t="str">
        <f>_xlfn.TEXTJOIN(
"XX",
TRUE,
IF(OR(F16="",F16=0),"",REPT(IF(F16&gt;0,"EN","EM"),ABS(F16))),
IF(OR(H16="",H16=0),"",REPT(IF(H16&gt;0,"BM","BP"),ABS(H16))),
REPT("SP",I16),
REPT("FL",J16),
REPT("WS",K16),
REPT("EF",L16),
IF(OR(M16="",M16=0),"",REPT(IF(M16&gt;0,"ZU","ZM"),ABS(M16))),
IF(D16="FW","XXFW",IF(D16="BIO","XXBI",IF(D16="ABWWP","XXWP",IF(D16="WP","XXWP",IF(D16="GG","XXGG","")))))
)</f>
        <v>ZU</v>
      </c>
      <c r="AB16" t="s">
        <v>368</v>
      </c>
      <c r="AC16" s="42"/>
      <c r="AD16" s="165" t="s">
        <v>481</v>
      </c>
      <c r="AE16" s="42"/>
      <c r="AF16" s="42" t="s">
        <v>139</v>
      </c>
      <c r="AG16" s="42"/>
      <c r="AH16" s="42"/>
    </row>
    <row r="17" spans="1:34" ht="22.5" customHeight="1" x14ac:dyDescent="0.2">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c r="X17" s="43"/>
      <c r="Y17" s="172"/>
      <c r="Z17" s="162"/>
      <c r="AA17" t="str">
        <f>_xlfn.TEXTJOIN(
"XX",
TRUE,
IF(OR(F17="",F17=0),"",REPT(IF(F17&gt;0,"EN","EM"),ABS(F17))),
IF(OR(H17="",H17=0),"",REPT(IF(H17&gt;0,"BM","BP"),ABS(H17))),
REPT("SP",I17),
REPT("FL",J17),
REPT("WS",K17),
REPT("EF",L17),
IF(OR(M17="",M17=0),"",REPT(IF(M17&gt;0,"ZU","ZM"),ABS(M17))),
IF(D17="FW","XXFW",IF(D17="BIO","XXBI",IF(D17="ABWWP","XXWP",IF(D17="WP","XXWP",IF(D17="GG","XXGG","")))))
)</f>
        <v>ZU</v>
      </c>
      <c r="AB17" t="s">
        <v>369</v>
      </c>
      <c r="AC17" s="45"/>
      <c r="AD17" s="166" t="s">
        <v>484</v>
      </c>
      <c r="AE17" s="52" t="s">
        <v>483</v>
      </c>
      <c r="AF17" s="45" t="s">
        <v>139</v>
      </c>
      <c r="AG17" s="45"/>
      <c r="AH17" s="45"/>
    </row>
    <row r="18" spans="1:34" ht="22.5" customHeight="1" x14ac:dyDescent="0.2">
      <c r="A18" s="56" t="s">
        <v>51</v>
      </c>
      <c r="B18" s="34" t="s">
        <v>31</v>
      </c>
      <c r="C18" s="14">
        <v>1</v>
      </c>
      <c r="D18" s="171"/>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427</v>
      </c>
      <c r="X18" s="32" t="s">
        <v>0</v>
      </c>
      <c r="Y18" s="32"/>
      <c r="Z18" s="101" t="s">
        <v>52</v>
      </c>
      <c r="AA18" t="str">
        <f>_xlfn.TEXTJOIN(
"XX",
TRUE,
IF(OR(F18="",F18=0),"",REPT(IF(F18&gt;0,"EN","EM"),ABS(F18))),
IF(OR(H18="",H18=0),"",REPT(IF(H18&gt;0,"BM","BP"),ABS(H18))),
REPT("SP",I18),
REPT("FL",J18),
REPT("WS",K18),
REPT("EF",L18),
IF(OR(M18="",M18=0),"",REPT(IF(M18&gt;0,"ZU","ZM"),ABS(M18))),
IF(D18="FW","XXFW",IF(D18="BIO","XXBI",IF(D18="ABWWP","XXWP",IF(D18="WP","XXWP",IF(D18="GG","XXGG","")))))
)</f>
        <v>ZU</v>
      </c>
      <c r="AB18" t="s">
        <v>372</v>
      </c>
      <c r="AC18" s="142"/>
      <c r="AD18" s="166" t="s">
        <v>445</v>
      </c>
      <c r="AE18" s="132" t="s">
        <v>253</v>
      </c>
      <c r="AF18" s="49" t="s">
        <v>139</v>
      </c>
      <c r="AG18" s="49"/>
      <c r="AH18" s="49"/>
    </row>
    <row r="19" spans="1:34" ht="22.5" customHeight="1" x14ac:dyDescent="0.2">
      <c r="A19" s="41" t="s">
        <v>353</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425</v>
      </c>
      <c r="X19" s="43" t="s">
        <v>0</v>
      </c>
      <c r="Y19" s="43"/>
      <c r="Z19" s="53" t="s">
        <v>351</v>
      </c>
      <c r="AA19" t="str">
        <f>_xlfn.TEXTJOIN(
"XX",
TRUE,
IF(OR(F19="",F19=0),"",REPT(IF(F19&gt;0,"EN","EM"),ABS(F19))),
IF(OR(H19="",H19=0),"",REPT(IF(H19&gt;0,"BM","BP"),ABS(H19))),
REPT("SP",I19),
REPT("FL",J19),
REPT("WS",K19),
REPT("EF",L19),
IF(OR(M19="",M19=0),"",REPT(IF(M19&gt;0,"ZU","ZM"),ABS(M19))),
IF(D19="FW","XXFW",IF(D19="BIO","XXBI",IF(D19="ABWWP","XXWP",IF(D19="WP","XXWP",IF(D19="GG","XXGG","")))))
)</f>
        <v>EMEMEMEMEMEMXXBMBMBMBMXXFLFLFLFLFLFLXXZUZU</v>
      </c>
      <c r="AB19" t="s">
        <v>370</v>
      </c>
      <c r="AC19" s="52" t="s">
        <v>264</v>
      </c>
      <c r="AD19" s="166" t="s">
        <v>455</v>
      </c>
      <c r="AE19" s="52" t="s">
        <v>262</v>
      </c>
      <c r="AF19" s="45" t="s">
        <v>139</v>
      </c>
      <c r="AG19" s="45"/>
      <c r="AH19" s="45"/>
    </row>
    <row r="20" spans="1:34" ht="22.5" customHeight="1" x14ac:dyDescent="0.2">
      <c r="A20" s="33" t="s">
        <v>71</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c r="X20" s="40"/>
      <c r="Y20" s="40"/>
      <c r="Z20" s="40"/>
      <c r="AA20" t="str">
        <f>_xlfn.TEXTJOIN(
"XX",
TRUE,
IF(OR(F20="",F20=0),"",REPT(IF(F20&gt;0,"EN","EM"),ABS(F20))),
IF(OR(H20="",H20=0),"",REPT(IF(H20&gt;0,"BM","BP"),ABS(H20))),
REPT("SP",I20),
REPT("FL",J20),
REPT("WS",K20),
REPT("EF",L20),
IF(OR(M20="",M20=0),"",REPT(IF(M20&gt;0,"ZU","ZM"),ABS(M20))),
IF(D20="FW","XXFW",IF(D20="BIO","XXBI",IF(D20="ABWWP","XXWP",IF(D20="WP","XXWP",IF(D20="GG","XXGG","")))))
)</f>
        <v>EM</v>
      </c>
      <c r="AB20" t="s">
        <v>373</v>
      </c>
      <c r="AC20" s="14" t="s">
        <v>261</v>
      </c>
      <c r="AD20" s="166" t="s">
        <v>459</v>
      </c>
      <c r="AE20" s="14" t="s">
        <v>259</v>
      </c>
      <c r="AF20" s="49" t="s">
        <v>139</v>
      </c>
      <c r="AG20" s="49"/>
      <c r="AH20" s="49"/>
    </row>
    <row r="21" spans="1:34" ht="22.5" customHeight="1" x14ac:dyDescent="0.2">
      <c r="A21" s="12" t="s">
        <v>75</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c r="X21" s="40"/>
      <c r="Y21" s="40"/>
      <c r="Z21" s="40"/>
      <c r="AA21" t="str">
        <f>_xlfn.TEXTJOIN(
"XX",
TRUE,
IF(OR(F21="",F21=0),"",REPT(IF(F21&gt;0,"EN","EM"),ABS(F21))),
IF(OR(H21="",H21=0),"",REPT(IF(H21&gt;0,"BM","BP"),ABS(H21))),
REPT("SP",I21),
REPT("FL",J21),
REPT("WS",K21),
REPT("EF",L21),
IF(OR(M21="",M21=0),"",REPT(IF(M21&gt;0,"ZU","ZM"),ABS(M21))),
IF(D21="FW","XXFW",IF(D21="BIO","XXBI",IF(D21="ABWWP","XXWP",IF(D21="WP","XXWP",IF(D21="GG","XXGG","")))))
)</f>
        <v>BMXXZUZU</v>
      </c>
      <c r="AB21" t="s">
        <v>374</v>
      </c>
      <c r="AC21" s="35"/>
      <c r="AD21" s="166" t="s">
        <v>503</v>
      </c>
      <c r="AE21" s="64" t="s">
        <v>256</v>
      </c>
      <c r="AF21" s="35" t="s">
        <v>139</v>
      </c>
      <c r="AG21" s="35"/>
      <c r="AH21" s="35"/>
    </row>
    <row r="22" spans="1:34" ht="22.5" customHeight="1" x14ac:dyDescent="0.2">
      <c r="A22" s="44" t="s">
        <v>354</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426</v>
      </c>
      <c r="X22" s="43" t="s">
        <v>0</v>
      </c>
      <c r="Y22" s="43"/>
      <c r="Z22" s="41" t="s">
        <v>37</v>
      </c>
      <c r="AA22" t="str">
        <f>_xlfn.TEXTJOIN(
"XX",
TRUE,
IF(OR(F22="",F22=0),"",REPT(IF(F22&gt;0,"EN","EM"),ABS(F22))),
IF(OR(H22="",H22=0),"",REPT(IF(H22&gt;0,"BM","BP"),ABS(H22))),
REPT("SP",I22),
REPT("FL",J22),
REPT("WS",K22),
REPT("EF",L22),
IF(OR(M22="",M22=0),"",REPT(IF(M22&gt;0,"ZU","ZM"),ABS(M22))),
IF(D22="FW","XXFW",IF(D22="BIO","XXBI",IF(D22="ABWWP","XXWP",IF(D22="WP","XXWP",IF(D22="GG","XXGG","")))))
)</f>
        <v>EMEMEMXXBMBMXXFLFLFLXXZU</v>
      </c>
      <c r="AB22" t="s">
        <v>370</v>
      </c>
      <c r="AC22" s="42"/>
      <c r="AD22" s="166" t="s">
        <v>465</v>
      </c>
      <c r="AE22" s="34" t="s">
        <v>352</v>
      </c>
      <c r="AF22" s="42" t="s">
        <v>139</v>
      </c>
      <c r="AG22" s="42" t="s">
        <v>139</v>
      </c>
      <c r="AH22" s="42" t="s">
        <v>139</v>
      </c>
    </row>
    <row r="23" spans="1:34" ht="22.5" customHeight="1" x14ac:dyDescent="0.2">
      <c r="A23" s="41" t="s">
        <v>43</v>
      </c>
      <c r="B23" s="34" t="s">
        <v>44</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428</v>
      </c>
      <c r="X23" s="53" t="s">
        <v>10</v>
      </c>
      <c r="Y23" s="53">
        <v>3</v>
      </c>
      <c r="Z23" s="44"/>
      <c r="AA23" t="str">
        <f>_xlfn.TEXTJOIN(
"XX",
TRUE,
IF(OR(F23="",F23=0),"",REPT(IF(F23&gt;0,"EN","EM"),ABS(F23))),
IF(OR(H23="",H23=0),"",REPT(IF(H23&gt;0,"BM","BP"),ABS(H23))),
REPT("SP",I23),
REPT("FL",J23),
REPT("WS",K23),
REPT("EF",L23),
IF(OR(M23="",M23=0),"",REPT(IF(M23&gt;0,"ZU","ZM"),ABS(M23))),
IF(D23="FW","XXFW",IF(D23="BIO","XXBI",IF(D23="ABWWP","XXWP",IF(D23="WP","XXWP",IF(D23="GG","XXGG","")))))
)</f>
        <v>EFEF</v>
      </c>
      <c r="AB23" t="s">
        <v>376</v>
      </c>
      <c r="AC23" s="52" t="s">
        <v>118</v>
      </c>
      <c r="AD23" s="166" t="s">
        <v>441</v>
      </c>
      <c r="AE23" s="52" t="s">
        <v>119</v>
      </c>
      <c r="AF23" s="45" t="s">
        <v>113</v>
      </c>
      <c r="AG23" s="45"/>
      <c r="AH23" s="87">
        <v>36</v>
      </c>
    </row>
    <row r="24" spans="1:34" ht="22.5" customHeight="1" x14ac:dyDescent="0.2">
      <c r="A24" s="33" t="s">
        <v>63</v>
      </c>
      <c r="B24" s="34" t="s">
        <v>44</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429</v>
      </c>
      <c r="X24" s="32" t="s">
        <v>10</v>
      </c>
      <c r="Y24" s="32">
        <v>5</v>
      </c>
      <c r="Z24" s="32"/>
      <c r="AA24" t="str">
        <f>_xlfn.TEXTJOIN(
"XX",
TRUE,
IF(OR(F24="",F24=0),"",REPT(IF(F24&gt;0,"EN","EM"),ABS(F24))),
IF(OR(H24="",H24=0),"",REPT(IF(H24&gt;0,"BM","BP"),ABS(H24))),
REPT("SP",I24),
REPT("FL",J24),
REPT("WS",K24),
REPT("EF",L24),
IF(OR(M24="",M24=0),"",REPT(IF(M24&gt;0,"ZU","ZM"),ABS(M24))),
IF(D24="FW","XXFW",IF(D24="BIO","XXBI",IF(D24="ABWWP","XXWP",IF(D24="WP","XXWP",IF(D24="GG","XXGG","")))))
)</f>
        <v>EFEFXXZU</v>
      </c>
      <c r="AB24" t="s">
        <v>377</v>
      </c>
      <c r="AC24" s="14" t="s">
        <v>118</v>
      </c>
      <c r="AD24" s="166" t="s">
        <v>451</v>
      </c>
      <c r="AE24" s="14" t="s">
        <v>116</v>
      </c>
      <c r="AF24" s="49" t="s">
        <v>113</v>
      </c>
      <c r="AG24" s="49"/>
      <c r="AH24" s="86">
        <v>35</v>
      </c>
    </row>
    <row r="25" spans="1:34" ht="22.5" customHeight="1" x14ac:dyDescent="0.2">
      <c r="A25" s="12" t="s">
        <v>80</v>
      </c>
      <c r="B25" s="34" t="s">
        <v>44</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428</v>
      </c>
      <c r="X25" s="32" t="s">
        <v>10</v>
      </c>
      <c r="Y25" s="32">
        <v>3</v>
      </c>
      <c r="Z25" s="32"/>
      <c r="AA25" t="str">
        <f>_xlfn.TEXTJOIN(
"XX",
TRUE,
IF(OR(F25="",F25=0),"",REPT(IF(F25&gt;0,"EN","EM"),ABS(F25))),
IF(OR(H25="",H25=0),"",REPT(IF(H25&gt;0,"BM","BP"),ABS(H25))),
REPT("SP",I25),
REPT("FL",J25),
REPT("WS",K25),
REPT("EF",L25),
IF(OR(M25="",M25=0),"",REPT(IF(M25&gt;0,"ZU","ZM"),ABS(M25))),
IF(D25="FW","XXFW",IF(D25="BIO","XXBI",IF(D25="ABWWP","XXWP",IF(D25="WP","XXWP",IF(D25="GG","XXGG","")))))
)</f>
        <v>EF</v>
      </c>
      <c r="AB25" t="s">
        <v>378</v>
      </c>
      <c r="AC25" s="137" t="s">
        <v>112</v>
      </c>
      <c r="AD25" s="166" t="s">
        <v>464</v>
      </c>
      <c r="AE25" s="137" t="s">
        <v>110</v>
      </c>
      <c r="AF25" s="171" t="s">
        <v>113</v>
      </c>
      <c r="AG25" s="35"/>
      <c r="AH25" s="35"/>
    </row>
    <row r="26" spans="1:34" ht="22.5" customHeight="1" x14ac:dyDescent="0.2">
      <c r="A26" s="44" t="s">
        <v>85</v>
      </c>
      <c r="B26" s="34" t="s">
        <v>44</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428</v>
      </c>
      <c r="X26" s="53" t="s">
        <v>10</v>
      </c>
      <c r="Y26" s="53">
        <v>3</v>
      </c>
      <c r="Z26" s="53"/>
      <c r="AA26" t="str">
        <f>_xlfn.TEXTJOIN(
"XX",
TRUE,
IF(OR(F26="",F26=0),"",REPT(IF(F26&gt;0,"EN","EM"),ABS(F26))),
IF(OR(H26="",H26=0),"",REPT(IF(H26&gt;0,"BM","BP"),ABS(H26))),
REPT("SP",I26),
REPT("FL",J26),
REPT("WS",K26),
REPT("EF",L26),
IF(OR(M26="",M26=0),"",REPT(IF(M26&gt;0,"ZU","ZM"),ABS(M26))),
IF(D26="FW","XXFW",IF(D26="BIO","XXBI",IF(D26="ABWWP","XXWP",IF(D26="WP","XXWP",IF(D26="GG","XXGG","")))))
)</f>
        <v>EFXXZM</v>
      </c>
      <c r="AB26" t="s">
        <v>379</v>
      </c>
      <c r="AC26" s="139" t="s">
        <v>112</v>
      </c>
      <c r="AD26" s="166" t="s">
        <v>468</v>
      </c>
      <c r="AE26" s="139" t="s">
        <v>114</v>
      </c>
      <c r="AF26" s="43" t="s">
        <v>113</v>
      </c>
      <c r="AG26" s="42"/>
      <c r="AH26" s="42"/>
    </row>
    <row r="27" spans="1:34" ht="22.5" customHeight="1" x14ac:dyDescent="0.2">
      <c r="A27" s="12" t="s">
        <v>97</v>
      </c>
      <c r="B27" s="34" t="s">
        <v>44</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429</v>
      </c>
      <c r="X27" s="53" t="s">
        <v>10</v>
      </c>
      <c r="Y27" s="32">
        <v>5</v>
      </c>
      <c r="Z27" s="32"/>
      <c r="AA27" t="str">
        <f>_xlfn.TEXTJOIN(
"XX",
TRUE,
IF(OR(F27="",F27=0),"",REPT(IF(F27&gt;0,"EN","EM"),ABS(F27))),
IF(OR(H27="",H27=0),"",REPT(IF(H27&gt;0,"BM","BP"),ABS(H27))),
REPT("SP",I27),
REPT("FL",J27),
REPT("WS",K27),
REPT("EF",L27),
IF(OR(M27="",M27=0),"",REPT(IF(M27&gt;0,"ZU","ZM"),ABS(M27))),
IF(D27="FW","XXFW",IF(D27="BIO","XXBI",IF(D27="ABWWP","XXWP",IF(D27="WP","XXWP",IF(D27="GG","XXGG","")))))
)</f>
        <v>EFEF</v>
      </c>
      <c r="AB27" t="s">
        <v>380</v>
      </c>
      <c r="AC27" s="137" t="s">
        <v>118</v>
      </c>
      <c r="AD27" s="166" t="s">
        <v>475</v>
      </c>
      <c r="AE27" s="137" t="s">
        <v>121</v>
      </c>
      <c r="AF27" s="171" t="s">
        <v>113</v>
      </c>
      <c r="AG27" s="35"/>
      <c r="AH27" s="35"/>
    </row>
    <row r="28" spans="1:34" ht="22.5" customHeight="1" x14ac:dyDescent="0.2">
      <c r="A28" s="59" t="s">
        <v>40</v>
      </c>
      <c r="B28" s="34" t="s">
        <v>41</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c r="X28" s="40"/>
      <c r="Y28" s="40"/>
      <c r="Z28" s="40"/>
      <c r="AA28" t="str">
        <f>_xlfn.TEXTJOIN(
"XX",
TRUE,
IF(OR(F28="",F28=0),"",REPT(IF(F28&gt;0,"EN","EM"),ABS(F28))),
IF(OR(H28="",H28=0),"",REPT(IF(H28&gt;0,"BM","BP"),ABS(H28))),
REPT("SP",I28),
REPT("FL",J28),
REPT("WS",K28),
REPT("EF",L28),
IF(OR(M28="",M28=0),"",REPT(IF(M28&gt;0,"ZU","ZM"),ABS(M28))),
IF(D28="FW","XXFW",IF(D28="BIO","XXBI",IF(D28="ABWWP","XXWP",IF(D28="WP","XXWP",IF(D28="GG","XXGG","")))))
)</f>
        <v>ZU</v>
      </c>
      <c r="AB28" t="s">
        <v>381</v>
      </c>
      <c r="AC28" s="140" t="s">
        <v>138</v>
      </c>
      <c r="AD28" s="166" t="s">
        <v>439</v>
      </c>
      <c r="AE28" s="140" t="s">
        <v>136</v>
      </c>
      <c r="AF28" s="171" t="s">
        <v>139</v>
      </c>
      <c r="AG28" s="49"/>
      <c r="AH28" s="49"/>
    </row>
    <row r="29" spans="1:34" ht="22.5" customHeight="1" x14ac:dyDescent="0.2">
      <c r="A29" s="59" t="s">
        <v>64</v>
      </c>
      <c r="B29" s="34" t="s">
        <v>41</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8</v>
      </c>
      <c r="J29" s="20">
        <f>Table1[[#This Row],[REAL Stromspeicher]]/real_zu_spiel_stromspeicher</f>
        <v>0</v>
      </c>
      <c r="K29" s="21"/>
      <c r="L29" s="39"/>
      <c r="M29" s="23"/>
      <c r="N29" s="24"/>
      <c r="O29" s="25"/>
      <c r="P29" s="16"/>
      <c r="Q29" s="17"/>
      <c r="R29" s="46"/>
      <c r="S29" s="50">
        <v>40</v>
      </c>
      <c r="T29" s="20"/>
      <c r="U29" s="21"/>
      <c r="V29" s="39"/>
      <c r="W29" s="126"/>
      <c r="X29" s="40"/>
      <c r="Y29" s="40"/>
      <c r="Z29" s="40"/>
      <c r="AA29" t="str">
        <f>_xlfn.TEXTJOIN(
"XX",
TRUE,
IF(OR(F29="",F29=0),"",REPT(IF(F29&gt;0,"EN","EM"),ABS(F29))),
IF(OR(H29="",H29=0),"",REPT(IF(H29&gt;0,"BM","BP"),ABS(H29))),
REPT("SP",I29),
REPT("FL",J29),
REPT("WS",K29),
REPT("EF",L29),
IF(OR(M29="",M29=0),"",REPT(IF(M29&gt;0,"ZU","ZM"),ABS(M29))),
IF(D29="FW","XXFW",IF(D29="BIO","XXBI",IF(D29="ABWWP","XXWP",IF(D29="WP","XXWP",IF(D29="GG","XXGG","")))))
)</f>
        <v>SPSPSPSPSPSPSPSP</v>
      </c>
      <c r="AB29" t="s">
        <v>382</v>
      </c>
      <c r="AC29" s="35"/>
      <c r="AD29" s="166" t="s">
        <v>452</v>
      </c>
      <c r="AE29" s="64" t="s">
        <v>147</v>
      </c>
      <c r="AF29" s="35"/>
      <c r="AG29" s="35"/>
      <c r="AH29" s="35"/>
    </row>
    <row r="30" spans="1:34" ht="22.5" customHeight="1" x14ac:dyDescent="0.2">
      <c r="A30" s="59" t="s">
        <v>72</v>
      </c>
      <c r="B30" s="34" t="s">
        <v>41</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c r="X30" s="40"/>
      <c r="Y30" s="40"/>
      <c r="Z30" s="40"/>
      <c r="AA30" t="str">
        <f>_xlfn.TEXTJOIN(
"XX",
TRUE,
IF(OR(F30="",F30=0),"",REPT(IF(F30&gt;0,"EN","EM"),ABS(F30))),
IF(OR(H30="",H30=0),"",REPT(IF(H30&gt;0,"BM","BP"),ABS(H30))),
REPT("SP",I30),
REPT("FL",J30),
REPT("WS",K30),
REPT("EF",L30),
IF(OR(M30="",M30=0),"",REPT(IF(M30&gt;0,"ZU","ZM"),ABS(M30))),
IF(D30="FW","XXFW",IF(D30="BIO","XXBI",IF(D30="ABWWP","XXWP",IF(D30="WP","XXWP",IF(D30="GG","XXGG","")))))
)</f>
        <v>SPSP</v>
      </c>
      <c r="AB30" t="s">
        <v>383</v>
      </c>
      <c r="AC30" s="176"/>
      <c r="AD30" s="166" t="s">
        <v>460</v>
      </c>
      <c r="AE30" s="137" t="s">
        <v>143</v>
      </c>
      <c r="AF30" s="40"/>
      <c r="AG30" s="49"/>
      <c r="AH30" s="49"/>
    </row>
    <row r="31" spans="1:34" ht="22.5" customHeight="1" x14ac:dyDescent="0.2">
      <c r="A31" s="61" t="s">
        <v>79</v>
      </c>
      <c r="B31" s="34" t="s">
        <v>41</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4</v>
      </c>
      <c r="J31" s="20">
        <f>Table1[[#This Row],[REAL Stromspeicher]]/real_zu_spiel_stromspeicher</f>
        <v>0</v>
      </c>
      <c r="K31" s="21"/>
      <c r="L31" s="39"/>
      <c r="M31" s="23"/>
      <c r="N31" s="24"/>
      <c r="O31" s="25"/>
      <c r="P31" s="16"/>
      <c r="Q31" s="17"/>
      <c r="R31" s="46"/>
      <c r="S31" s="50">
        <v>20</v>
      </c>
      <c r="T31" s="20"/>
      <c r="U31" s="21"/>
      <c r="V31" s="39"/>
      <c r="W31" s="126"/>
      <c r="X31" s="43"/>
      <c r="Y31" s="43"/>
      <c r="Z31" s="43"/>
      <c r="AA31" t="str">
        <f>_xlfn.TEXTJOIN(
"XX",
TRUE,
IF(OR(F31="",F31=0),"",REPT(IF(F31&gt;0,"EN","EM"),ABS(F31))),
IF(OR(H31="",H31=0),"",REPT(IF(H31&gt;0,"BM","BP"),ABS(H31))),
REPT("SP",I31),
REPT("FL",J31),
REPT("WS",K31),
REPT("EF",L31),
IF(OR(M31="",M31=0),"",REPT(IF(M31&gt;0,"ZU","ZM"),ABS(M31))),
IF(D31="FW","XXFW",IF(D31="BIO","XXBI",IF(D31="ABWWP","XXWP",IF(D31="WP","XXWP",IF(D31="GG","XXGG","")))))
)</f>
        <v>SPSPSPSP</v>
      </c>
      <c r="AB31" t="s">
        <v>384</v>
      </c>
      <c r="AC31" s="35"/>
      <c r="AD31" s="166" t="s">
        <v>463</v>
      </c>
      <c r="AE31" s="64" t="s">
        <v>145</v>
      </c>
      <c r="AF31" s="45"/>
      <c r="AG31" s="45"/>
      <c r="AH31" s="45"/>
    </row>
    <row r="32" spans="1:34" ht="22.5" customHeight="1" x14ac:dyDescent="0.2">
      <c r="A32" s="33" t="s">
        <v>83</v>
      </c>
      <c r="B32" s="34" t="s">
        <v>41</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c r="X32" s="40"/>
      <c r="Y32" s="40"/>
      <c r="Z32" s="40"/>
      <c r="AA32" t="str">
        <f>_xlfn.TEXTJOIN(
"XX",
TRUE,
IF(OR(F32="",F32=0),"",REPT(IF(F32&gt;0,"EN","EM"),ABS(F32))),
IF(OR(H32="",H32=0),"",REPT(IF(H32&gt;0,"BM","BP"),ABS(H32))),
REPT("SP",I32),
REPT("FL",J32),
REPT("WS",K32),
REPT("EF",L32),
IF(OR(M32="",M32=0),"",REPT(IF(M32&gt;0,"ZU","ZM"),ABS(M32))),
IF(D32="FW","XXFW",IF(D32="BIO","XXBI",IF(D32="ABWWP","XXWP",IF(D32="WP","XXWP",IF(D32="GG","XXGG","")))))
)</f>
        <v>SPSPSP</v>
      </c>
      <c r="AB32" t="s">
        <v>385</v>
      </c>
      <c r="AC32" s="14" t="s">
        <v>154</v>
      </c>
      <c r="AD32" s="166" t="s">
        <v>466</v>
      </c>
      <c r="AE32" s="14" t="s">
        <v>152</v>
      </c>
      <c r="AF32" s="49"/>
      <c r="AG32" s="49"/>
      <c r="AH32" s="49"/>
    </row>
    <row r="33" spans="1:34" ht="22.5" customHeight="1" x14ac:dyDescent="0.2">
      <c r="A33" s="60" t="s">
        <v>84</v>
      </c>
      <c r="B33" s="34" t="s">
        <v>41</v>
      </c>
      <c r="C33" s="14">
        <v>1</v>
      </c>
      <c r="D33" s="42"/>
      <c r="E33" s="15">
        <v>3</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c r="X33" s="43"/>
      <c r="Y33" s="43"/>
      <c r="Z33" s="43"/>
      <c r="AA33" t="str">
        <f>_xlfn.TEXTJOIN(
"XX",
TRUE,
IF(OR(F33="",F33=0),"",REPT(IF(F33&gt;0,"EN","EM"),ABS(F33))),
IF(OR(H33="",H33=0),"",REPT(IF(H33&gt;0,"BM","BP"),ABS(H33))),
REPT("SP",I33),
REPT("FL",J33),
REPT("WS",K33),
REPT("EF",L33),
IF(OR(M33="",M33=0),"",REPT(IF(M33&gt;0,"ZU","ZM"),ABS(M33))),
IF(D33="FW","XXFW",IF(D33="BIO","XXBI",IF(D33="ABWWP","XXWP",IF(D33="WP","XXWP",IF(D33="GG","XXGG","")))))
)</f>
        <v>SPSPXXZU</v>
      </c>
      <c r="AB33" t="s">
        <v>386</v>
      </c>
      <c r="AC33" s="52" t="s">
        <v>151</v>
      </c>
      <c r="AD33" s="166" t="s">
        <v>467</v>
      </c>
      <c r="AE33" s="52" t="s">
        <v>149</v>
      </c>
      <c r="AF33" s="45"/>
      <c r="AG33" s="45"/>
      <c r="AH33" s="45"/>
    </row>
    <row r="34" spans="1:34" ht="22.5" customHeight="1" x14ac:dyDescent="0.2">
      <c r="A34" s="44" t="s">
        <v>94</v>
      </c>
      <c r="B34" s="62" t="s">
        <v>41</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c r="X34" s="43"/>
      <c r="Y34" s="43"/>
      <c r="Z34" s="43"/>
      <c r="AA34" t="str">
        <f>_xlfn.TEXTJOIN(
"XX",
TRUE,
IF(OR(F34="",F34=0),"",REPT(IF(F34&gt;0,"EN","EM"),ABS(F34))),
IF(OR(H34="",H34=0),"",REPT(IF(H34&gt;0,"BM","BP"),ABS(H34))),
REPT("SP",I34),
REPT("FL",J34),
REPT("WS",K34),
REPT("EF",L34),
IF(OR(M34="",M34=0),"",REPT(IF(M34&gt;0,"ZU","ZM"),ABS(M34))),
IF(D34="FW","XXFW",IF(D34="BIO","XXBI",IF(D34="ABWWP","XXWP",IF(D34="WP","XXWP",IF(D34="GG","XXGG","")))))
)</f>
        <v>WS</v>
      </c>
      <c r="AB34" t="s">
        <v>387</v>
      </c>
      <c r="AC34" s="55" t="s">
        <v>142</v>
      </c>
      <c r="AD34" s="166" t="s">
        <v>472</v>
      </c>
      <c r="AE34" s="55" t="s">
        <v>140</v>
      </c>
      <c r="AF34" s="42"/>
      <c r="AG34" s="42"/>
      <c r="AH34" s="152">
        <v>30</v>
      </c>
    </row>
    <row r="35" spans="1:34" ht="22.5" customHeight="1" x14ac:dyDescent="0.2">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c r="X35" s="40"/>
      <c r="Y35" s="40"/>
      <c r="Z35" s="40"/>
      <c r="AA35" t="str">
        <f>_xlfn.TEXTJOIN(
"XX",
TRUE,
IF(OR(F35="",F35=0),"",REPT(IF(F35&gt;0,"EN","EM"),ABS(F35))),
IF(OR(H35="",H35=0),"",REPT(IF(H35&gt;0,"BM","BP"),ABS(H35))),
REPT("SP",I35),
REPT("FL",J35),
REPT("WS",K35),
REPT("EF",L35),
IF(OR(M35="",M35=0),"",REPT(IF(M35&gt;0,"ZU","ZM"),ABS(M35))),
IF(D35="FW","XXFW",IF(D35="BIO","XXBI",IF(D35="ABWWP","XXWP",IF(D35="WP","XXWP",IF(D35="GG","XXGG","")))))
)</f>
        <v>WSWSWSWS</v>
      </c>
      <c r="AB35" t="s">
        <v>388</v>
      </c>
      <c r="AC35" s="64" t="s">
        <v>129</v>
      </c>
      <c r="AD35" s="166" t="s">
        <v>433</v>
      </c>
      <c r="AE35" s="64" t="s">
        <v>155</v>
      </c>
      <c r="AF35" s="144" t="s">
        <v>139</v>
      </c>
      <c r="AG35" s="144" t="s">
        <v>130</v>
      </c>
      <c r="AH35" s="153">
        <v>11</v>
      </c>
    </row>
    <row r="36" spans="1:34" ht="22.5" customHeight="1" x14ac:dyDescent="0.2">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c r="X36" s="43"/>
      <c r="Y36" s="43"/>
      <c r="Z36" s="43"/>
      <c r="AA36" t="str">
        <f>_xlfn.TEXTJOIN(
"XX",
TRUE,
IF(OR(F36="",F36=0),"",REPT(IF(F36&gt;0,"EN","EM"),ABS(F36))),
IF(OR(H36="",H36=0),"",REPT(IF(H36&gt;0,"BM","BP"),ABS(H36))),
REPT("SP",I36),
REPT("FL",J36),
REPT("WS",K36),
REPT("EF",L36),
IF(OR(M36="",M36=0),"",REPT(IF(M36&gt;0,"ZU","ZM"),ABS(M36))),
IF(D36="FW","XXFW",IF(D36="BIO","XXBI",IF(D36="ABWWP","XXWP",IF(D36="WP","XXWP",IF(D36="GG","XXGG","")))))
)</f>
        <v>WSWSWSWS</v>
      </c>
      <c r="AB36" t="s">
        <v>389</v>
      </c>
      <c r="AC36" s="55" t="s">
        <v>129</v>
      </c>
      <c r="AD36" s="166" t="s">
        <v>434</v>
      </c>
      <c r="AE36" s="55" t="s">
        <v>155</v>
      </c>
      <c r="AF36" s="143" t="s">
        <v>139</v>
      </c>
      <c r="AG36" s="143" t="s">
        <v>130</v>
      </c>
      <c r="AH36" s="152">
        <v>11</v>
      </c>
    </row>
    <row r="37" spans="1:34" ht="22.5" customHeight="1" x14ac:dyDescent="0.2">
      <c r="A37" s="56" t="s">
        <v>42</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c r="X37" s="40"/>
      <c r="Y37" s="40"/>
      <c r="Z37" s="40"/>
      <c r="AA37" t="str">
        <f>_xlfn.TEXTJOIN(
"XX",
TRUE,
IF(OR(F37="",F37=0),"",REPT(IF(F37&gt;0,"EN","EM"),ABS(F37))),
IF(OR(H37="",H37=0),"",REPT(IF(H37&gt;0,"BM","BP"),ABS(H37))),
REPT("SP",I37),
REPT("FL",J37),
REPT("WS",K37),
REPT("EF",L37),
IF(OR(M37="",M37=0),"",REPT(IF(M37&gt;0,"ZU","ZM"),ABS(M37))),
IF(D37="FW","XXFW",IF(D37="BIO","XXBI",IF(D37="ABWWP","XXWP",IF(D37="WP","XXWP",IF(D37="GG","XXGG","")))))
)</f>
        <v>WS</v>
      </c>
      <c r="AB37" t="s">
        <v>390</v>
      </c>
      <c r="AC37" s="131" t="s">
        <v>170</v>
      </c>
      <c r="AD37" s="166" t="s">
        <v>440</v>
      </c>
      <c r="AE37" s="131" t="s">
        <v>171</v>
      </c>
      <c r="AF37" s="35" t="s">
        <v>139</v>
      </c>
      <c r="AG37" s="35"/>
      <c r="AH37" s="35"/>
    </row>
    <row r="38" spans="1:34" ht="22.5" customHeight="1" x14ac:dyDescent="0.2">
      <c r="A38" s="33" t="s">
        <v>62</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c r="X38" s="40"/>
      <c r="Y38" s="40"/>
      <c r="Z38" s="40"/>
      <c r="AA38" t="str">
        <f>_xlfn.TEXTJOIN(
"XX",
TRUE,
IF(OR(F38="",F38=0),"",REPT(IF(F38&gt;0,"EN","EM"),ABS(F38))),
IF(OR(H38="",H38=0),"",REPT(IF(H38&gt;0,"BM","BP"),ABS(H38))),
REPT("SP",I38),
REPT("FL",J38),
REPT("WS",K38),
REPT("EF",L38),
IF(OR(M38="",M38=0),"",REPT(IF(M38&gt;0,"ZU","ZM"),ABS(M38))),
IF(D38="FW","XXFW",IF(D38="BIO","XXBI",IF(D38="ABWWP","XXWP",IF(D38="WP","XXWP",IF(D38="GG","XXGG","")))))
)</f>
        <v>WSWS</v>
      </c>
      <c r="AB38" t="s">
        <v>391</v>
      </c>
      <c r="AC38" s="14" t="s">
        <v>129</v>
      </c>
      <c r="AD38" s="166" t="s">
        <v>449</v>
      </c>
      <c r="AE38" s="14" t="s">
        <v>127</v>
      </c>
      <c r="AF38" s="88"/>
      <c r="AG38" s="88" t="s">
        <v>130</v>
      </c>
      <c r="AH38" s="86">
        <v>12</v>
      </c>
    </row>
    <row r="39" spans="1:34" ht="22.5" customHeight="1" x14ac:dyDescent="0.2">
      <c r="A39" s="41" t="s">
        <v>62</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c r="X39" s="43"/>
      <c r="Y39" s="43"/>
      <c r="Z39" s="43"/>
      <c r="AA39" t="str">
        <f>_xlfn.TEXTJOIN(
"XX",
TRUE,
IF(OR(F39="",F39=0),"",REPT(IF(F39&gt;0,"EN","EM"),ABS(F39))),
IF(OR(H39="",H39=0),"",REPT(IF(H39&gt;0,"BM","BP"),ABS(H39))),
REPT("SP",I39),
REPT("FL",J39),
REPT("WS",K39),
REPT("EF",L39),
IF(OR(M39="",M39=0),"",REPT(IF(M39&gt;0,"ZU","ZM"),ABS(M39))),
IF(D39="FW","XXFW",IF(D39="BIO","XXBI",IF(D39="ABWWP","XXWP",IF(D39="WP","XXWP",IF(D39="GG","XXGG","")))))
)</f>
        <v>WSWS</v>
      </c>
      <c r="AB39" t="s">
        <v>391</v>
      </c>
      <c r="AC39" s="52" t="s">
        <v>129</v>
      </c>
      <c r="AD39" s="166" t="s">
        <v>450</v>
      </c>
      <c r="AE39" s="52" t="s">
        <v>206</v>
      </c>
      <c r="AF39" s="89" t="s">
        <v>139</v>
      </c>
      <c r="AG39" s="89" t="s">
        <v>130</v>
      </c>
      <c r="AH39" s="87">
        <v>13</v>
      </c>
    </row>
    <row r="40" spans="1:34" ht="22.5" customHeight="1" x14ac:dyDescent="0.2">
      <c r="A40" s="44" t="s">
        <v>69</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c r="X40" s="43"/>
      <c r="Y40" s="43"/>
      <c r="Z40" s="43"/>
      <c r="AA40" t="str">
        <f>_xlfn.TEXTJOIN(
"XX",
TRUE,
IF(OR(F40="",F40=0),"",REPT(IF(F40&gt;0,"EN","EM"),ABS(F40))),
IF(OR(H40="",H40=0),"",REPT(IF(H40&gt;0,"BM","BP"),ABS(H40))),
REPT("SP",I40),
REPT("FL",J40),
REPT("WS",K40),
REPT("EF",L40),
IF(OR(M40="",M40=0),"",REPT(IF(M40&gt;0,"ZU","ZM"),ABS(M40))),
IF(D40="FW","XXFW",IF(D40="BIO","XXBI",IF(D40="ABWWP","XXWP",IF(D40="WP","XXWP",IF(D40="GG","XXGG","")))))
)</f>
        <v>WSWS</v>
      </c>
      <c r="AB40" t="s">
        <v>392</v>
      </c>
      <c r="AC40" s="133" t="s">
        <v>133</v>
      </c>
      <c r="AD40" s="166" t="s">
        <v>456</v>
      </c>
      <c r="AE40" s="133" t="s">
        <v>131</v>
      </c>
      <c r="AF40" s="179"/>
      <c r="AG40" s="143" t="s">
        <v>130</v>
      </c>
      <c r="AH40" s="152">
        <v>12</v>
      </c>
    </row>
    <row r="41" spans="1:34" ht="22.5" customHeight="1" x14ac:dyDescent="0.2">
      <c r="A41" s="12" t="s">
        <v>69</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c r="X41" s="40"/>
      <c r="Y41" s="40"/>
      <c r="Z41" s="40"/>
      <c r="AA41" t="str">
        <f>_xlfn.TEXTJOIN(
"XX",
TRUE,
IF(OR(F41="",F41=0),"",REPT(IF(F41&gt;0,"EN","EM"),ABS(F41))),
IF(OR(H41="",H41=0),"",REPT(IF(H41&gt;0,"BM","BP"),ABS(H41))),
REPT("SP",I41),
REPT("FL",J41),
REPT("WS",K41),
REPT("EF",L41),
IF(OR(M41="",M41=0),"",REPT(IF(M41&gt;0,"ZU","ZM"),ABS(M41))),
IF(D41="FW","XXFW",IF(D41="BIO","XXBI",IF(D41="ABWWP","XXWP",IF(D41="WP","XXWP",IF(D41="GG","XXGG","")))))
)</f>
        <v>WSWS</v>
      </c>
      <c r="AB41" t="s">
        <v>392</v>
      </c>
      <c r="AC41" s="140" t="s">
        <v>133</v>
      </c>
      <c r="AD41" s="166" t="s">
        <v>457</v>
      </c>
      <c r="AE41" s="140" t="s">
        <v>207</v>
      </c>
      <c r="AF41" s="178" t="s">
        <v>139</v>
      </c>
      <c r="AG41" s="144" t="s">
        <v>130</v>
      </c>
      <c r="AH41" s="153">
        <v>13</v>
      </c>
    </row>
    <row r="42" spans="1:34" ht="22.5" customHeight="1" x14ac:dyDescent="0.2">
      <c r="A42" s="44" t="s">
        <v>81</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c r="X42" s="43"/>
      <c r="Y42" s="43"/>
      <c r="Z42" s="43"/>
      <c r="AA42" t="str">
        <f>_xlfn.TEXTJOIN(
"XX",
TRUE,
IF(OR(F42="",F42=0),"",REPT(IF(F42&gt;0,"EN","EM"),ABS(F42))),
IF(OR(H42="",H42=0),"",REPT(IF(H42&gt;0,"BM","BP"),ABS(H42))),
REPT("SP",I42),
REPT("FL",J42),
REPT("WS",K42),
REPT("EF",L42),
IF(OR(M42="",M42=0),"",REPT(IF(M42&gt;0,"ZU","ZM"),ABS(M42))),
IF(D42="FW","XXFW",IF(D42="BIO","XXBI",IF(D42="ABWWP","XXWP",IF(D42="WP","XXWP",IF(D42="GG","XXGG","")))))
)</f>
        <v>WSWSWSWSWS</v>
      </c>
      <c r="AB42" t="s">
        <v>393</v>
      </c>
      <c r="AC42" s="173" t="s">
        <v>133</v>
      </c>
      <c r="AD42" s="166" t="s">
        <v>506</v>
      </c>
      <c r="AE42" s="173" t="s">
        <v>505</v>
      </c>
      <c r="AF42" s="179"/>
      <c r="AG42" s="179" t="s">
        <v>130</v>
      </c>
      <c r="AH42" s="181">
        <v>11</v>
      </c>
    </row>
    <row r="43" spans="1:34" ht="22.5" customHeight="1" x14ac:dyDescent="0.2">
      <c r="A43" s="61" t="s">
        <v>82</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c r="X43" s="40"/>
      <c r="Y43" s="40"/>
      <c r="Z43" s="40"/>
      <c r="AA43" t="str">
        <f>_xlfn.TEXTJOIN(
"XX",
TRUE,
IF(OR(F43="",F43=0),"",REPT(IF(F43&gt;0,"EN","EM"),ABS(F43))),
IF(OR(H43="",H43=0),"",REPT(IF(H43&gt;0,"BM","BP"),ABS(H43))),
REPT("SP",I43),
REPT("FL",J43),
REPT("WS",K43),
REPT("EF",L43),
IF(OR(M43="",M43=0),"",REPT(IF(M43&gt;0,"ZU","ZM"),ABS(M43))),
IF(D43="FW","XXFW",IF(D43="BIO","XXBI",IF(D43="ABWWP","XXWP",IF(D43="WP","XXWP",IF(D43="GG","XXGG","")))))
)</f>
        <v>WSWSWSWSWS</v>
      </c>
      <c r="AB43" t="s">
        <v>392</v>
      </c>
      <c r="AC43" s="14" t="s">
        <v>133</v>
      </c>
      <c r="AD43" s="166" t="s">
        <v>507</v>
      </c>
      <c r="AE43" s="55" t="s">
        <v>508</v>
      </c>
      <c r="AF43" s="88"/>
      <c r="AG43" s="88" t="s">
        <v>130</v>
      </c>
      <c r="AH43" s="86">
        <v>11</v>
      </c>
    </row>
    <row r="44" spans="1:34" ht="22.5" customHeight="1" x14ac:dyDescent="0.2">
      <c r="A44" s="100" t="s">
        <v>86</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c r="X44" s="43"/>
      <c r="Y44" s="43"/>
      <c r="Z44" s="43"/>
      <c r="AA44" t="str">
        <f>_xlfn.TEXTJOIN(
"XX",
TRUE,
IF(OR(F44="",F44=0),"",REPT(IF(F44&gt;0,"EN","EM"),ABS(F44))),
IF(OR(H44="",H44=0),"",REPT(IF(H44&gt;0,"BM","BP"),ABS(H44))),
REPT("SP",I44),
REPT("FL",J44),
REPT("WS",K44),
REPT("EF",L44),
IF(OR(M44="",M44=0),"",REPT(IF(M44&gt;0,"ZU","ZM"),ABS(M44))),
IF(D44="FW","XXFW",IF(D44="BIO","XXBI",IF(D44="ABWWP","XXWP",IF(D44="WP","XXWP",IF(D44="GG","XXGG","")))))
)</f>
        <v/>
      </c>
      <c r="AB44" t="s">
        <v>394</v>
      </c>
      <c r="AC44" s="45"/>
      <c r="AD44" s="165" t="s">
        <v>510</v>
      </c>
      <c r="AE44" s="168" t="s">
        <v>509</v>
      </c>
      <c r="AF44" s="89"/>
      <c r="AG44" s="89" t="s">
        <v>172</v>
      </c>
      <c r="AH44" s="45"/>
    </row>
    <row r="45" spans="1:34" ht="22.5" customHeight="1" x14ac:dyDescent="0.2">
      <c r="A45" s="57" t="s">
        <v>87</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c r="X45" s="43"/>
      <c r="Y45" s="43"/>
      <c r="Z45" s="43"/>
      <c r="AA45" t="str">
        <f>_xlfn.TEXTJOIN(
"XX",
TRUE,
IF(OR(F45="",F45=0),"",REPT(IF(F45&gt;0,"EN","EM"),ABS(F45))),
IF(OR(H45="",H45=0),"",REPT(IF(H45&gt;0,"BM","BP"),ABS(H45))),
REPT("SP",I45),
REPT("FL",J45),
REPT("WS",K45),
REPT("EF",L45),
IF(OR(M45="",M45=0),"",REPT(IF(M45&gt;0,"ZU","ZM"),ABS(M45))),
IF(D45="FW","XXFW",IF(D45="BIO","XXBI",IF(D45="ABWWP","XXWP",IF(D45="WP","XXWP",IF(D45="GG","XXGG","")))))
)</f>
        <v>WSWS</v>
      </c>
      <c r="AB45" t="s">
        <v>390</v>
      </c>
      <c r="AC45" s="129" t="s">
        <v>170</v>
      </c>
      <c r="AD45" s="166" t="s">
        <v>469</v>
      </c>
      <c r="AE45" s="129" t="s">
        <v>169</v>
      </c>
      <c r="AF45" s="151"/>
      <c r="AG45" s="143" t="s">
        <v>165</v>
      </c>
      <c r="AH45" s="42"/>
    </row>
    <row r="46" spans="1:34" ht="22.5" customHeight="1" x14ac:dyDescent="0.2">
      <c r="A46" s="59" t="s">
        <v>88</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c r="X46" s="40"/>
      <c r="Y46" s="40"/>
      <c r="Z46" s="40"/>
      <c r="AA46" t="str">
        <f>_xlfn.TEXTJOIN(
"XX",
TRUE,
IF(OR(F46="",F46=0),"",REPT(IF(F46&gt;0,"EN","EM"),ABS(F46))),
IF(OR(H46="",H46=0),"",REPT(IF(H46&gt;0,"BM","BP"),ABS(H46))),
REPT("SP",I46),
REPT("FL",J46),
REPT("WS",K46),
REPT("EF",L46),
IF(OR(M46="",M46=0),"",REPT(IF(M46&gt;0,"ZU","ZM"),ABS(M46))),
IF(D46="FW","XXFW",IF(D46="BIO","XXBI",IF(D46="ABWWP","XXWP",IF(D46="WP","XXWP",IF(D46="GG","XXGG","")))))
)</f>
        <v>WSWS</v>
      </c>
      <c r="AB46" t="s">
        <v>392</v>
      </c>
      <c r="AC46" s="140" t="s">
        <v>133</v>
      </c>
      <c r="AD46" s="166" t="s">
        <v>470</v>
      </c>
      <c r="AE46" s="64" t="s">
        <v>134</v>
      </c>
      <c r="AF46" s="178"/>
      <c r="AG46" s="144" t="s">
        <v>130</v>
      </c>
      <c r="AH46" s="153">
        <v>12</v>
      </c>
    </row>
    <row r="47" spans="1:34" ht="22.5" customHeight="1" x14ac:dyDescent="0.2">
      <c r="A47" s="41" t="s">
        <v>88</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c r="X47" s="43"/>
      <c r="Y47" s="43"/>
      <c r="Z47" s="43"/>
      <c r="AA47" t="str">
        <f>_xlfn.TEXTJOIN(
"XX",
TRUE,
IF(OR(F47="",F47=0),"",REPT(IF(F47&gt;0,"EN","EM"),ABS(F47))),
IF(OR(H47="",H47=0),"",REPT(IF(H47&gt;0,"BM","BP"),ABS(H47))),
REPT("SP",I47),
REPT("FL",J47),
REPT("WS",K47),
REPT("EF",L47),
IF(OR(M47="",M47=0),"",REPT(IF(M47&gt;0,"ZU","ZM"),ABS(M47))),
IF(D47="FW","XXFW",IF(D47="BIO","XXBI",IF(D47="ABWWP","XXWP",IF(D47="WP","XXWP",IF(D47="GG","XXGG","")))))
)</f>
        <v>WSWS</v>
      </c>
      <c r="AB47" t="s">
        <v>392</v>
      </c>
      <c r="AC47" s="55" t="s">
        <v>133</v>
      </c>
      <c r="AD47" s="166" t="s">
        <v>471</v>
      </c>
      <c r="AE47" s="55" t="s">
        <v>208</v>
      </c>
      <c r="AF47" s="143"/>
      <c r="AG47" s="143" t="s">
        <v>130</v>
      </c>
      <c r="AH47" s="152">
        <v>13</v>
      </c>
    </row>
    <row r="48" spans="1:34" ht="22.5" customHeight="1" x14ac:dyDescent="0.2">
      <c r="A48" s="100" t="s">
        <v>89</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c r="X48" s="43"/>
      <c r="Y48" s="43"/>
      <c r="Z48" s="43"/>
      <c r="AA48" t="str">
        <f>_xlfn.TEXTJOIN(
"XX",
TRUE,
IF(OR(F48="",F48=0),"",REPT(IF(F48&gt;0,"EN","EM"),ABS(F48))),
IF(OR(H48="",H48=0),"",REPT(IF(H48&gt;0,"BM","BP"),ABS(H48))),
REPT("SP",I48),
REPT("FL",J48),
REPT("WS",K48),
REPT("EF",L48),
IF(OR(M48="",M48=0),"",REPT(IF(M48&gt;0,"ZU","ZM"),ABS(M48))),
IF(D48="FW","XXFW",IF(D48="BIO","XXBI",IF(D48="ABWWP","XXWP",IF(D48="WP","XXWP",IF(D48="GG","XXGG","")))))
)</f>
        <v>WSWSWS</v>
      </c>
      <c r="AB48" t="s">
        <v>395</v>
      </c>
      <c r="AC48" s="52" t="s">
        <v>129</v>
      </c>
      <c r="AD48" s="166" t="s">
        <v>512</v>
      </c>
      <c r="AE48" s="52" t="s">
        <v>155</v>
      </c>
      <c r="AF48" s="89"/>
      <c r="AG48" s="89" t="s">
        <v>130</v>
      </c>
      <c r="AH48" s="87">
        <v>11</v>
      </c>
    </row>
    <row r="49" spans="1:34" ht="22.5" customHeight="1" x14ac:dyDescent="0.2">
      <c r="A49" s="12" t="s">
        <v>90</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c r="X49" s="40"/>
      <c r="Y49" s="40"/>
      <c r="Z49" s="40"/>
      <c r="AA49" t="str">
        <f>_xlfn.TEXTJOIN(
"XX",
TRUE,
IF(OR(F49="",F49=0),"",REPT(IF(F49&gt;0,"EN","EM"),ABS(F49))),
IF(OR(H49="",H49=0),"",REPT(IF(H49&gt;0,"BM","BP"),ABS(H49))),
REPT("SP",I49),
REPT("FL",J49),
REPT("WS",K49),
REPT("EF",L49),
IF(OR(M49="",M49=0),"",REPT(IF(M49&gt;0,"ZU","ZM"),ABS(M49))),
IF(D49="FW","XXFW",IF(D49="BIO","XXBI",IF(D49="ABWWP","XXWP",IF(D49="WP","XXWP",IF(D49="GG","XXGG","")))))
)</f>
        <v>WSWSWS</v>
      </c>
      <c r="AB49" t="s">
        <v>396</v>
      </c>
      <c r="AC49" s="14" t="s">
        <v>129</v>
      </c>
      <c r="AD49" s="166" t="s">
        <v>513</v>
      </c>
      <c r="AE49" s="14" t="s">
        <v>511</v>
      </c>
      <c r="AF49" s="88"/>
      <c r="AG49" s="88" t="s">
        <v>130</v>
      </c>
      <c r="AH49" s="86">
        <v>11</v>
      </c>
    </row>
    <row r="50" spans="1:34" ht="22.5" customHeight="1" x14ac:dyDescent="0.2">
      <c r="A50" s="58" t="s">
        <v>95</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c r="X50" s="43"/>
      <c r="Y50" s="43"/>
      <c r="Z50" s="43"/>
      <c r="AA50" t="str">
        <f>_xlfn.TEXTJOIN(
"XX",
TRUE,
IF(OR(F50="",F50=0),"",REPT(IF(F50&gt;0,"EN","EM"),ABS(F50))),
IF(OR(H50="",H50=0),"",REPT(IF(H50&gt;0,"BM","BP"),ABS(H50))),
REPT("SP",I50),
REPT("FL",J50),
REPT("WS",K50),
REPT("EF",L50),
IF(OR(M50="",M50=0),"",REPT(IF(M50&gt;0,"ZU","ZM"),ABS(M50))),
IF(D50="FW","XXFW",IF(D50="BIO","XXBI",IF(D50="ABWWP","XXWP",IF(D50="WP","XXWP",IF(D50="GG","XXGG","")))))
)</f>
        <v>WS</v>
      </c>
      <c r="AB50" t="s">
        <v>397</v>
      </c>
      <c r="AC50" s="136" t="s">
        <v>164</v>
      </c>
      <c r="AD50" s="166" t="s">
        <v>473</v>
      </c>
      <c r="AE50" s="136" t="s">
        <v>162</v>
      </c>
      <c r="AF50" s="150"/>
      <c r="AG50" s="89" t="s">
        <v>165</v>
      </c>
      <c r="AH50" s="87">
        <v>20</v>
      </c>
    </row>
    <row r="51" spans="1:34" ht="22.5" customHeight="1" x14ac:dyDescent="0.2">
      <c r="A51" s="57" t="s">
        <v>96</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c r="X51" s="40"/>
      <c r="Y51" s="40"/>
      <c r="Z51" s="40"/>
      <c r="AA51" t="str">
        <f>_xlfn.TEXTJOIN(
"XX",
TRUE,
IF(OR(F51="",F51=0),"",REPT(IF(F51&gt;0,"EN","EM"),ABS(F51))),
IF(OR(H51="",H51=0),"",REPT(IF(H51&gt;0,"BM","BP"),ABS(H51))),
REPT("SP",I51),
REPT("FL",J51),
REPT("WS",K51),
REPT("EF",L51),
IF(OR(M51="",M51=0),"",REPT(IF(M51&gt;0,"ZU","ZM"),ABS(M51))),
IF(D51="FW","XXFW",IF(D51="BIO","XXBI",IF(D51="ABWWP","XXWP",IF(D51="WP","XXWP",IF(D51="GG","XXGG","")))))
)</f>
        <v>WS</v>
      </c>
      <c r="AB51" t="s">
        <v>398</v>
      </c>
      <c r="AC51" s="129" t="s">
        <v>168</v>
      </c>
      <c r="AD51" s="166" t="s">
        <v>474</v>
      </c>
      <c r="AE51" s="129" t="s">
        <v>166</v>
      </c>
      <c r="AF51" s="145"/>
      <c r="AG51" s="88" t="s">
        <v>165</v>
      </c>
      <c r="AH51" s="86">
        <v>21</v>
      </c>
    </row>
    <row r="52" spans="1:34" ht="22.5" customHeight="1" x14ac:dyDescent="0.2">
      <c r="A52" s="58" t="s">
        <v>98</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c r="X52" s="40"/>
      <c r="Y52" s="40"/>
      <c r="Z52" s="40"/>
      <c r="AA52" t="str">
        <f>_xlfn.TEXTJOIN(
"XX",
TRUE,
IF(OR(F52="",F52=0),"",REPT(IF(F52&gt;0,"EN","EM"),ABS(F52))),
IF(OR(H52="",H52=0),"",REPT(IF(H52&gt;0,"BM","BP"),ABS(H52))),
REPT("SP",I52),
REPT("FL",J52),
REPT("WS",K52),
REPT("EF",L52),
IF(OR(M52="",M52=0),"",REPT(IF(M52&gt;0,"ZU","ZM"),ABS(M52))),
IF(D52="FW","XXFW",IF(D52="BIO","XXBI",IF(D52="ABWWP","XXWP",IF(D52="WP","XXWP",IF(D52="GG","XXGG","")))))
)</f>
        <v>WSWS</v>
      </c>
      <c r="AB52" t="s">
        <v>390</v>
      </c>
      <c r="AC52" s="177" t="s">
        <v>170</v>
      </c>
      <c r="AD52" s="166" t="s">
        <v>476</v>
      </c>
      <c r="AE52" s="129" t="s">
        <v>173</v>
      </c>
      <c r="AF52" s="180"/>
      <c r="AG52" s="144" t="s">
        <v>165</v>
      </c>
      <c r="AH52" s="153">
        <v>9</v>
      </c>
    </row>
    <row r="53" spans="1:34" ht="22.5" customHeight="1" x14ac:dyDescent="0.2">
      <c r="A53" s="41" t="s">
        <v>100</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c r="X53" s="43"/>
      <c r="Y53" s="43"/>
      <c r="Z53" s="43"/>
      <c r="AA53" t="str">
        <f>_xlfn.TEXTJOIN(
"XX",
TRUE,
IF(OR(F53="",F53=0),"",REPT(IF(F53&gt;0,"EN","EM"),ABS(F53))),
IF(OR(H53="",H53=0),"",REPT(IF(H53&gt;0,"BM","BP"),ABS(H53))),
REPT("SP",I53),
REPT("FL",J53),
REPT("WS",K53),
REPT("EF",L53),
IF(OR(M53="",M53=0),"",REPT(IF(M53&gt;0,"ZU","ZM"),ABS(M53))),
IF(D53="FW","XXFW",IF(D53="BIO","XXBI",IF(D53="ABWWP","XXWP",IF(D53="WP","XXWP",IF(D53="GG","XXGG","")))))
)</f>
        <v>WSWS</v>
      </c>
      <c r="AB53" t="s">
        <v>392</v>
      </c>
      <c r="AC53" s="55" t="s">
        <v>133</v>
      </c>
      <c r="AD53" s="166" t="s">
        <v>478</v>
      </c>
      <c r="AE53" s="55" t="s">
        <v>135</v>
      </c>
      <c r="AF53" s="143"/>
      <c r="AG53" s="143" t="s">
        <v>130</v>
      </c>
      <c r="AH53" s="152">
        <v>12</v>
      </c>
    </row>
    <row r="54" spans="1:34" ht="22.5" customHeight="1" x14ac:dyDescent="0.2">
      <c r="A54" s="59" t="s">
        <v>100</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c r="X54" s="40"/>
      <c r="Y54" s="40"/>
      <c r="Z54" s="40"/>
      <c r="AA54" t="str">
        <f>_xlfn.TEXTJOIN(
"XX",
TRUE,
IF(OR(F54="",F54=0),"",REPT(IF(F54&gt;0,"EN","EM"),ABS(F54))),
IF(OR(H54="",H54=0),"",REPT(IF(H54&gt;0,"BM","BP"),ABS(H54))),
REPT("SP",I54),
REPT("FL",J54),
REPT("WS",K54),
REPT("EF",L54),
IF(OR(M54="",M54=0),"",REPT(IF(M54&gt;0,"ZU","ZM"),ABS(M54))),
IF(D54="FW","XXFW",IF(D54="BIO","XXBI",IF(D54="ABWWP","XXWP",IF(D54="WP","XXWP",IF(D54="GG","XXGG","")))))
)</f>
        <v>WSWS</v>
      </c>
      <c r="AB54" t="s">
        <v>392</v>
      </c>
      <c r="AC54" s="64" t="s">
        <v>133</v>
      </c>
      <c r="AD54" s="166" t="s">
        <v>479</v>
      </c>
      <c r="AE54" s="64" t="s">
        <v>209</v>
      </c>
      <c r="AF54" s="144"/>
      <c r="AG54" s="144" t="s">
        <v>130</v>
      </c>
      <c r="AH54" s="153">
        <v>13</v>
      </c>
    </row>
    <row r="55" spans="1:34" ht="22.5" customHeight="1" x14ac:dyDescent="0.2">
      <c r="A55" s="41" t="s">
        <v>54</v>
      </c>
      <c r="B55" s="63" t="s">
        <v>55</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1</v>
      </c>
      <c r="L55" s="39"/>
      <c r="M55" s="23"/>
      <c r="N55" s="24"/>
      <c r="O55" s="25"/>
      <c r="P55" s="16"/>
      <c r="Q55" s="17">
        <v>10</v>
      </c>
      <c r="R55" s="18">
        <v>0</v>
      </c>
      <c r="S55" s="19"/>
      <c r="T55" s="20"/>
      <c r="U55" s="38">
        <v>1</v>
      </c>
      <c r="V55" s="39"/>
      <c r="W55" s="126"/>
      <c r="X55" s="43"/>
      <c r="Y55" s="43"/>
      <c r="Z55" s="172"/>
      <c r="AA55" t="str">
        <f>_xlfn.TEXTJOIN(
"XX",
TRUE,
IF(OR(F55="",F55=0),"",REPT(IF(F55&gt;0,"EN","EM"),ABS(F55))),
IF(OR(H55="",H55=0),"",REPT(IF(H55&gt;0,"BM","BP"),ABS(H55))),
REPT("SP",I55),
REPT("FL",J55),
REPT("WS",K55),
REPT("EF",L55),
IF(OR(M55="",M55=0),"",REPT(IF(M55&gt;0,"ZU","ZM"),ABS(M55))),
IF(D55="FW","XXFW",IF(D55="BIO","XXBI",IF(D55="ABWWP","XXWP",IF(D55="WP","XXWP",IF(D55="GG","XXGG","")))))
)</f>
        <v>WS</v>
      </c>
      <c r="AB55" t="s">
        <v>399</v>
      </c>
      <c r="AC55" s="55" t="s">
        <v>179</v>
      </c>
      <c r="AD55" s="166" t="s">
        <v>491</v>
      </c>
      <c r="AE55" s="55" t="s">
        <v>177</v>
      </c>
      <c r="AF55" s="42" t="s">
        <v>139</v>
      </c>
      <c r="AG55" s="42"/>
      <c r="AH55" s="42"/>
    </row>
    <row r="56" spans="1:34" ht="22.5" customHeight="1" x14ac:dyDescent="0.2">
      <c r="A56" s="33" t="s">
        <v>56</v>
      </c>
      <c r="B56" s="63" t="s">
        <v>55</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2</v>
      </c>
      <c r="L56" s="39"/>
      <c r="M56" s="23"/>
      <c r="N56" s="24"/>
      <c r="O56" s="25"/>
      <c r="P56" s="16"/>
      <c r="Q56" s="37">
        <v>20</v>
      </c>
      <c r="R56" s="18">
        <v>0</v>
      </c>
      <c r="S56" s="19"/>
      <c r="T56" s="20"/>
      <c r="U56" s="38">
        <v>2</v>
      </c>
      <c r="V56" s="39"/>
      <c r="W56" s="126"/>
      <c r="X56" s="40"/>
      <c r="Y56" s="40"/>
      <c r="Z56" s="40"/>
      <c r="AA56" t="str">
        <f>_xlfn.TEXTJOIN(
"XX",
TRUE,
IF(OR(F56="",F56=0),"",REPT(IF(F56&gt;0,"EN","EM"),ABS(F56))),
IF(OR(H56="",H56=0),"",REPT(IF(H56&gt;0,"BM","BP"),ABS(H56))),
REPT("SP",I56),
REPT("FL",J56),
REPT("WS",K56),
REPT("EF",L56),
IF(OR(M56="",M56=0),"",REPT(IF(M56&gt;0,"ZU","ZM"),ABS(M56))),
IF(D56="FW","XXFW",IF(D56="BIO","XXBI",IF(D56="ABWWP","XXWP",IF(D56="WP","XXWP",IF(D56="GG","XXGG","")))))
)</f>
        <v>WSWS</v>
      </c>
      <c r="AB56" t="s">
        <v>400</v>
      </c>
      <c r="AC56" s="137" t="s">
        <v>179</v>
      </c>
      <c r="AD56" s="166" t="s">
        <v>494</v>
      </c>
      <c r="AE56" s="137" t="s">
        <v>177</v>
      </c>
      <c r="AF56" s="171" t="s">
        <v>139</v>
      </c>
      <c r="AG56" s="35"/>
      <c r="AH56" s="35"/>
    </row>
    <row r="57" spans="1:34" ht="22.5" customHeight="1" x14ac:dyDescent="0.2">
      <c r="A57" s="41" t="s">
        <v>57</v>
      </c>
      <c r="B57" s="63" t="s">
        <v>55</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2</v>
      </c>
      <c r="L57" s="39"/>
      <c r="M57" s="23"/>
      <c r="N57" s="24"/>
      <c r="O57" s="25"/>
      <c r="P57" s="16"/>
      <c r="Q57" s="17">
        <v>10</v>
      </c>
      <c r="R57" s="18">
        <v>0</v>
      </c>
      <c r="S57" s="19"/>
      <c r="T57" s="20"/>
      <c r="U57" s="38">
        <v>2</v>
      </c>
      <c r="V57" s="39"/>
      <c r="W57" s="126"/>
      <c r="X57" s="43"/>
      <c r="Y57" s="43"/>
      <c r="Z57" s="43"/>
      <c r="AA57" t="str">
        <f>_xlfn.TEXTJOIN(
"XX",
TRUE,
IF(OR(F57="",F57=0),"",REPT(IF(F57&gt;0,"EN","EM"),ABS(F57))),
IF(OR(H57="",H57=0),"",REPT(IF(H57&gt;0,"BM","BP"),ABS(H57))),
REPT("SP",I57),
REPT("FL",J57),
REPT("WS",K57),
REPT("EF",L57),
IF(OR(M57="",M57=0),"",REPT(IF(M57&gt;0,"ZU","ZM"),ABS(M57))),
IF(D57="FW","XXFW",IF(D57="BIO","XXBI",IF(D57="ABWWP","XXWP",IF(D57="WP","XXWP",IF(D57="GG","XXGG","")))))
)</f>
        <v>WSWS</v>
      </c>
      <c r="AB57" t="s">
        <v>401</v>
      </c>
      <c r="AC57" s="139" t="s">
        <v>179</v>
      </c>
      <c r="AD57" s="166" t="s">
        <v>495</v>
      </c>
      <c r="AE57" s="139" t="s">
        <v>177</v>
      </c>
      <c r="AF57" s="43" t="s">
        <v>139</v>
      </c>
      <c r="AG57" s="42"/>
      <c r="AH57" s="42"/>
    </row>
    <row r="58" spans="1:34" ht="22.5" customHeight="1" x14ac:dyDescent="0.2">
      <c r="A58" s="59" t="s">
        <v>58</v>
      </c>
      <c r="B58" s="63" t="s">
        <v>55</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37">
        <v>30</v>
      </c>
      <c r="R58" s="18">
        <v>0</v>
      </c>
      <c r="S58" s="19"/>
      <c r="T58" s="20"/>
      <c r="U58" s="38">
        <v>1</v>
      </c>
      <c r="V58" s="39"/>
      <c r="W58" s="126"/>
      <c r="X58" s="40"/>
      <c r="Y58" s="40"/>
      <c r="Z58" s="40"/>
      <c r="AA58" t="str">
        <f>_xlfn.TEXTJOIN(
"XX",
TRUE,
IF(OR(F58="",F58=0),"",REPT(IF(F58&gt;0,"EN","EM"),ABS(F58))),
IF(OR(H58="",H58=0),"",REPT(IF(H58&gt;0,"BM","BP"),ABS(H58))),
REPT("SP",I58),
REPT("FL",J58),
REPT("WS",K58),
REPT("EF",L58),
IF(OR(M58="",M58=0),"",REPT(IF(M58&gt;0,"ZU","ZM"),ABS(M58))),
IF(D58="FW","XXFW",IF(D58="BIO","XXBI",IF(D58="ABWWP","XXWP",IF(D58="WP","XXWP",IF(D58="GG","XXGG","")))))
)</f>
        <v>WS</v>
      </c>
      <c r="AB58" t="s">
        <v>402</v>
      </c>
      <c r="AC58" s="64" t="s">
        <v>179</v>
      </c>
      <c r="AD58" s="166" t="s">
        <v>496</v>
      </c>
      <c r="AE58" s="64" t="s">
        <v>177</v>
      </c>
      <c r="AF58" s="35" t="s">
        <v>139</v>
      </c>
      <c r="AG58" s="35"/>
      <c r="AH58" s="35"/>
    </row>
    <row r="59" spans="1:34" ht="22.5" customHeight="1" x14ac:dyDescent="0.2">
      <c r="A59" s="60" t="s">
        <v>91</v>
      </c>
      <c r="B59" s="63" t="s">
        <v>55</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c r="X59" s="43"/>
      <c r="Y59" s="43"/>
      <c r="Z59" s="43"/>
      <c r="AA59" t="str">
        <f>_xlfn.TEXTJOIN(
"XX",
TRUE,
IF(OR(F59="",F59=0),"",REPT(IF(F59&gt;0,"EN","EM"),ABS(F59))),
IF(OR(H59="",H59=0),"",REPT(IF(H59&gt;0,"BM","BP"),ABS(H59))),
REPT("SP",I59),
REPT("FL",J59),
REPT("WS",K59),
REPT("EF",L59),
IF(OR(M59="",M59=0),"",REPT(IF(M59&gt;0,"ZU","ZM"),ABS(M59))),
IF(D59="FW","XXFW",IF(D59="BIO","XXBI",IF(D59="ABWWP","XXWP",IF(D59="WP","XXWP",IF(D59="GG","XXGG","")))))
)</f>
        <v>WS</v>
      </c>
      <c r="AB59" t="s">
        <v>403</v>
      </c>
      <c r="AC59" s="55" t="s">
        <v>176</v>
      </c>
      <c r="AD59" s="166" t="s">
        <v>517</v>
      </c>
      <c r="AE59" s="55" t="s">
        <v>516</v>
      </c>
      <c r="AF59" s="143"/>
      <c r="AG59" s="143" t="s">
        <v>165</v>
      </c>
      <c r="AH59" s="42"/>
    </row>
    <row r="60" spans="1:34" ht="22.5" customHeight="1" x14ac:dyDescent="0.2">
      <c r="A60" s="33" t="s">
        <v>45</v>
      </c>
      <c r="B60" s="63" t="s">
        <v>46</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c r="X60" s="40"/>
      <c r="Y60" s="40"/>
      <c r="Z60" s="40"/>
      <c r="AA60" t="str">
        <f>_xlfn.TEXTJOIN(
"XX",
TRUE,
IF(OR(F60="",F60=0),"",REPT(IF(F60&gt;0,"EN","EM"),ABS(F60))),
IF(OR(H60="",H60=0),"",REPT(IF(H60&gt;0,"BM","BP"),ABS(H60))),
REPT("SP",I60),
REPT("FL",J60),
REPT("WS",K60),
REPT("EF",L60),
IF(OR(M60="",M60=0),"",REPT(IF(M60&gt;0,"ZU","ZM"),ABS(M60))),
IF(D60="FW","XXFW",IF(D60="BIO","XXBI",IF(D60="ABWWP","XXWP",IF(D60="WP","XXWP",IF(D60="GG","XXGG","")))))
)</f>
        <v>WS</v>
      </c>
      <c r="AB60" t="s">
        <v>404</v>
      </c>
      <c r="AC60" s="64" t="s">
        <v>215</v>
      </c>
      <c r="AD60" s="166" t="s">
        <v>442</v>
      </c>
      <c r="AE60" s="64" t="s">
        <v>213</v>
      </c>
      <c r="AF60" s="144" t="s">
        <v>139</v>
      </c>
      <c r="AG60" s="144" t="s">
        <v>165</v>
      </c>
      <c r="AH60" s="153">
        <v>27</v>
      </c>
    </row>
    <row r="61" spans="1:34" ht="22.5" customHeight="1" x14ac:dyDescent="0.2">
      <c r="A61" s="57" t="s">
        <v>53</v>
      </c>
      <c r="B61" s="63" t="s">
        <v>46</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c r="X61" s="40"/>
      <c r="Y61" s="40"/>
      <c r="Z61" s="171"/>
      <c r="AA61" t="str">
        <f>_xlfn.TEXTJOIN(
"XX",
TRUE,
IF(OR(F61="",F61=0),"",REPT(IF(F61&gt;0,"EN","EM"),ABS(F61))),
IF(OR(H61="",H61=0),"",REPT(IF(H61&gt;0,"BM","BP"),ABS(H61))),
REPT("SP",I61),
REPT("FL",J61),
REPT("WS",K61),
REPT("EF",L61),
IF(OR(M61="",M61=0),"",REPT(IF(M61&gt;0,"ZU","ZM"),ABS(M61))),
IF(D61="FW","XXFW",IF(D61="BIO","XXBI",IF(D61="ABWWP","XXWP",IF(D61="WP","XXWP",IF(D61="GG","XXGG","")))))
)</f>
        <v>WS</v>
      </c>
      <c r="AB61" t="s">
        <v>405</v>
      </c>
      <c r="AC61" s="129" t="s">
        <v>225</v>
      </c>
      <c r="AD61" s="166" t="s">
        <v>446</v>
      </c>
      <c r="AE61" s="129" t="s">
        <v>223</v>
      </c>
      <c r="AF61" s="145" t="s">
        <v>139</v>
      </c>
      <c r="AG61" s="88" t="s">
        <v>165</v>
      </c>
      <c r="AH61" s="86">
        <v>29</v>
      </c>
    </row>
    <row r="62" spans="1:34" ht="22.5" customHeight="1" x14ac:dyDescent="0.2">
      <c r="A62" s="33" t="s">
        <v>77</v>
      </c>
      <c r="B62" s="63" t="s">
        <v>46</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c r="X62" s="40"/>
      <c r="Y62" s="40"/>
      <c r="Z62" s="40"/>
      <c r="AA62" t="str">
        <f>_xlfn.TEXTJOIN(
"XX",
TRUE,
IF(OR(F62="",F62=0),"",REPT(IF(F62&gt;0,"EN","EM"),ABS(F62))),
IF(OR(H62="",H62=0),"",REPT(IF(H62&gt;0,"BM","BP"),ABS(H62))),
REPT("SP",I62),
REPT("FL",J62),
REPT("WS",K62),
REPT("EF",L62),
IF(OR(M62="",M62=0),"",REPT(IF(M62&gt;0,"ZU","ZM"),ABS(M62))),
IF(D62="FW","XXFW",IF(D62="BIO","XXBI",IF(D62="ABWWP","XXWP",IF(D62="WP","XXWP",IF(D62="GG","XXGG","")))))
)</f>
        <v>BMXXWSWSXXZU</v>
      </c>
      <c r="AB62" t="s">
        <v>407</v>
      </c>
      <c r="AC62" s="64" t="s">
        <v>218</v>
      </c>
      <c r="AD62" s="166" t="s">
        <v>519</v>
      </c>
      <c r="AE62" s="64" t="s">
        <v>518</v>
      </c>
      <c r="AF62" s="144" t="s">
        <v>139</v>
      </c>
      <c r="AG62" s="144" t="s">
        <v>165</v>
      </c>
      <c r="AH62" s="153">
        <v>24</v>
      </c>
    </row>
    <row r="63" spans="1:34" ht="22.5" customHeight="1" x14ac:dyDescent="0.2">
      <c r="A63" s="57" t="s">
        <v>76</v>
      </c>
      <c r="B63" s="63" t="s">
        <v>46</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c r="X63" s="43"/>
      <c r="Y63" s="43"/>
      <c r="Z63" s="43"/>
      <c r="AA63" t="str">
        <f>_xlfn.TEXTJOIN(
"XX",
TRUE,
IF(OR(F63="",F63=0),"",REPT(IF(F63&gt;0,"EN","EM"),ABS(F63))),
IF(OR(H63="",H63=0),"",REPT(IF(H63&gt;0,"BM","BP"),ABS(H63))),
REPT("SP",I63),
REPT("FL",J63),
REPT("WS",K63),
REPT("EF",L63),
IF(OR(M63="",M63=0),"",REPT(IF(M63&gt;0,"ZU","ZM"),ABS(M63))),
IF(D63="FW","XXFW",IF(D63="BIO","XXBI",IF(D63="ABWWP","XXWP",IF(D63="WP","XXWP",IF(D63="GG","XXGG","")))))
)</f>
        <v>WS</v>
      </c>
      <c r="AB63" t="s">
        <v>406</v>
      </c>
      <c r="AC63" s="129" t="s">
        <v>222</v>
      </c>
      <c r="AD63" s="166" t="s">
        <v>461</v>
      </c>
      <c r="AE63" s="129" t="s">
        <v>220</v>
      </c>
      <c r="AF63" s="151" t="s">
        <v>139</v>
      </c>
      <c r="AG63" s="143" t="s">
        <v>165</v>
      </c>
      <c r="AH63" s="152">
        <v>26</v>
      </c>
    </row>
    <row r="64" spans="1:34" ht="22.5" customHeight="1" x14ac:dyDescent="0.2">
      <c r="A64" s="57" t="s">
        <v>78</v>
      </c>
      <c r="B64" s="63" t="s">
        <v>46</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c r="X64" s="43"/>
      <c r="Y64" s="43"/>
      <c r="Z64" s="43"/>
      <c r="AA64" t="str">
        <f>_xlfn.TEXTJOIN(
"XX",
TRUE,
IF(OR(F64="",F64=0),"",REPT(IF(F64&gt;0,"EN","EM"),ABS(F64))),
IF(OR(H64="",H64=0),"",REPT(IF(H64&gt;0,"BM","BP"),ABS(H64))),
REPT("SP",I64),
REPT("FL",J64),
REPT("WS",K64),
REPT("EF",L64),
IF(OR(M64="",M64=0),"",REPT(IF(M64&gt;0,"ZU","ZM"),ABS(M64))),
IF(D64="FW","XXFW",IF(D64="BIO","XXBI",IF(D64="ABWWP","XXWP",IF(D64="WP","XXWP",IF(D64="GG","XXGG","")))))
)</f>
        <v>ZU</v>
      </c>
      <c r="AB64" t="s">
        <v>408</v>
      </c>
      <c r="AC64" s="129" t="s">
        <v>212</v>
      </c>
      <c r="AD64" s="166" t="s">
        <v>462</v>
      </c>
      <c r="AE64" s="129" t="s">
        <v>210</v>
      </c>
      <c r="AF64" s="151" t="s">
        <v>139</v>
      </c>
      <c r="AG64" s="143" t="s">
        <v>165</v>
      </c>
      <c r="AH64" s="152">
        <v>30</v>
      </c>
    </row>
    <row r="65" spans="1:34" ht="22.5" customHeight="1" x14ac:dyDescent="0.2">
      <c r="A65" s="44" t="s">
        <v>101</v>
      </c>
      <c r="B65" s="63" t="s">
        <v>46</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c r="X65" s="43"/>
      <c r="Y65" s="43"/>
      <c r="Z65" s="43"/>
      <c r="AA65" t="str">
        <f>_xlfn.TEXTJOIN(
"XX",
TRUE,
IF(OR(F65="",F65=0),"",REPT(IF(F65&gt;0,"EN","EM"),ABS(F65))),
IF(OR(H65="",H65=0),"",REPT(IF(H65&gt;0,"BM","BP"),ABS(H65))),
REPT("SP",I65),
REPT("FL",J65),
REPT("WS",K65),
REPT("EF",L65),
IF(OR(M65="",M65=0),"",REPT(IF(M65&gt;0,"ZU","ZM"),ABS(M65))),
IF(D65="FW","XXFW",IF(D65="BIO","XXBI",IF(D65="ABWWP","XXWP",IF(D65="WP","XXWP",IF(D65="GG","XXGG","")))))
)</f>
        <v>BMXXWSXXZU</v>
      </c>
      <c r="AB65" t="s">
        <v>409</v>
      </c>
      <c r="AC65" s="52" t="s">
        <v>218</v>
      </c>
      <c r="AD65" s="166" t="s">
        <v>504</v>
      </c>
      <c r="AE65" s="52" t="s">
        <v>216</v>
      </c>
      <c r="AF65" s="89"/>
      <c r="AG65" s="89" t="s">
        <v>165</v>
      </c>
      <c r="AH65" s="87">
        <v>24</v>
      </c>
    </row>
    <row r="66" spans="1:34" ht="22.5" customHeight="1" x14ac:dyDescent="0.2">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c r="X66" s="32"/>
      <c r="Y66" s="32"/>
      <c r="Z66" s="32"/>
      <c r="AA66" t="str">
        <f>_xlfn.TEXTJOIN(
"XX",
TRUE,
IF(OR(F66="",F66=0),"",REPT(IF(F66&gt;0,"EN","EM"),ABS(F66))),
IF(OR(H66="",H66=0),"",REPT(IF(H66&gt;0,"BM","BP"),ABS(H66))),
REPT("SP",I66),
REPT("FL",J66),
REPT("WS",K66),
REPT("EF",L66),
IF(OR(M66="",M66=0),"",REPT(IF(M66&gt;0,"ZU","ZM"),ABS(M66))),
IF(D66="FW","XXFW",IF(D66="BIO","XXBI",IF(D66="ABWWP","XXWP",IF(D66="WP","XXWP",IF(D66="GG","XXGG","")))))
)</f>
        <v>EFEFXXXXWP</v>
      </c>
      <c r="AB66" t="s">
        <v>410</v>
      </c>
      <c r="AC66" s="140" t="s">
        <v>237</v>
      </c>
      <c r="AD66" s="166" t="s">
        <v>432</v>
      </c>
      <c r="AE66" s="140" t="s">
        <v>235</v>
      </c>
      <c r="AF66" s="178" t="s">
        <v>139</v>
      </c>
      <c r="AG66" s="88" t="s">
        <v>130</v>
      </c>
      <c r="AH66" s="86">
        <v>31</v>
      </c>
    </row>
    <row r="67" spans="1:34" ht="22.5" customHeight="1" x14ac:dyDescent="0.2">
      <c r="A67" s="44" t="s">
        <v>38</v>
      </c>
      <c r="B67" s="63" t="s">
        <v>25</v>
      </c>
      <c r="C67" s="14">
        <v>1</v>
      </c>
      <c r="D67" s="52" t="s">
        <v>39</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c r="X67" s="53"/>
      <c r="Y67" s="53"/>
      <c r="Z67" s="173"/>
      <c r="AA67" t="str">
        <f>_xlfn.TEXTJOIN(
"XX",
TRUE,
IF(OR(F67="",F67=0),"",REPT(IF(F67&gt;0,"EN","EM"),ABS(F67))),
IF(OR(H67="",H67=0),"",REPT(IF(H67&gt;0,"BM","BP"),ABS(H67))),
REPT("SP",I67),
REPT("FL",J67),
REPT("WS",K67),
REPT("EF",L67),
IF(OR(M67="",M67=0),"",REPT(IF(M67&gt;0,"ZU","ZM"),ABS(M67))),
IF(D67="FW","XXFW",IF(D67="BIO","XXBI",IF(D67="ABWWP","XXWP",IF(D67="WP","XXWP",IF(D67="GG","XXGG","")))))
)</f>
        <v>ZMXXXXBI</v>
      </c>
      <c r="AB67" t="s">
        <v>411</v>
      </c>
      <c r="AC67" s="52" t="s">
        <v>234</v>
      </c>
      <c r="AD67" s="166" t="s">
        <v>437</v>
      </c>
      <c r="AE67" s="52" t="s">
        <v>232</v>
      </c>
      <c r="AF67" s="89" t="s">
        <v>139</v>
      </c>
      <c r="AG67" s="89" t="s">
        <v>130</v>
      </c>
      <c r="AH67" s="87">
        <v>25</v>
      </c>
    </row>
    <row r="68" spans="1:34" ht="22.5" customHeight="1" x14ac:dyDescent="0.2">
      <c r="A68" s="100" t="s">
        <v>47</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c r="X68" s="53"/>
      <c r="Y68" s="53"/>
      <c r="Z68" s="173"/>
      <c r="AA68" t="str">
        <f>_xlfn.TEXTJOIN(
"XX",
TRUE,
IF(OR(F68="",F68=0),"",REPT(IF(F68&gt;0,"EN","EM"),ABS(F68))),
IF(OR(H68="",H68=0),"",REPT(IF(H68&gt;0,"BM","BP"),ABS(H68))),
REPT("SP",I68),
REPT("FL",J68),
REPT("WS",K68),
REPT("EF",L68),
IF(OR(M68="",M68=0),"",REPT(IF(M68&gt;0,"ZU","ZM"),ABS(M68))),
IF(D68="FW","XXFW",IF(D68="BIO","XXBI",IF(D68="ABWWP","XXWP",IF(D68="WP","XXWP",IF(D68="GG","XXGG","")))))
)</f>
        <v>EFXXZMXXXXWP</v>
      </c>
      <c r="AB68" t="s">
        <v>412</v>
      </c>
      <c r="AC68" s="55" t="s">
        <v>228</v>
      </c>
      <c r="AD68" s="166" t="s">
        <v>443</v>
      </c>
      <c r="AE68" s="55" t="s">
        <v>226</v>
      </c>
      <c r="AF68" s="143" t="s">
        <v>139</v>
      </c>
      <c r="AG68" s="143" t="s">
        <v>130</v>
      </c>
      <c r="AH68" s="152">
        <v>29</v>
      </c>
    </row>
    <row r="69" spans="1:34" ht="22.5" customHeight="1" x14ac:dyDescent="0.2">
      <c r="A69" s="44" t="s">
        <v>50</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c r="X69" s="53"/>
      <c r="Y69" s="53"/>
      <c r="Z69" s="53"/>
      <c r="AA69" t="str">
        <f>_xlfn.TEXTJOIN(
"XX",
TRUE,
IF(OR(F69="",F69=0),"",REPT(IF(F69&gt;0,"EN","EM"),ABS(F69))),
IF(OR(H69="",H69=0),"",REPT(IF(H69&gt;0,"BM","BP"),ABS(H69))),
REPT("SP",I69),
REPT("FL",J69),
REPT("WS",K69),
REPT("EF",L69),
IF(OR(M69="",M69=0),"",REPT(IF(M69&gt;0,"ZU","ZM"),ABS(M69))),
IF(D69="FW","XXFW",IF(D69="BIO","XXBI",IF(D69="ABWWP","XXWP",IF(D69="WP","XXWP",IF(D69="GG","XXGG","")))))
)</f>
        <v>EFEFXXXXWP</v>
      </c>
      <c r="AB69" t="s">
        <v>413</v>
      </c>
      <c r="AC69" s="52" t="s">
        <v>240</v>
      </c>
      <c r="AD69" s="166" t="s">
        <v>444</v>
      </c>
      <c r="AE69" s="52" t="s">
        <v>238</v>
      </c>
      <c r="AF69" s="89" t="s">
        <v>139</v>
      </c>
      <c r="AG69" s="89" t="s">
        <v>130</v>
      </c>
      <c r="AH69" s="87">
        <v>26</v>
      </c>
    </row>
    <row r="70" spans="1:34" ht="22.5" customHeight="1" x14ac:dyDescent="0.2">
      <c r="A70" s="12" t="s">
        <v>59</v>
      </c>
      <c r="B70" s="13" t="s">
        <v>25</v>
      </c>
      <c r="C70" s="14">
        <v>1</v>
      </c>
      <c r="D70" s="14" t="s">
        <v>60</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c r="X70" s="32"/>
      <c r="Y70" s="32"/>
      <c r="Z70" s="32"/>
      <c r="AA70" t="str">
        <f>_xlfn.TEXTJOIN(
"XX",
TRUE,
IF(OR(F70="",F70=0),"",REPT(IF(F70&gt;0,"EN","EM"),ABS(F70))),
IF(OR(H70="",H70=0),"",REPT(IF(H70&gt;0,"BM","BP"),ABS(H70))),
REPT("SP",I70),
REPT("FL",J70),
REPT("WS",K70),
REPT("EF",L70),
IF(OR(M70="",M70=0),"",REPT(IF(M70&gt;0,"ZU","ZM"),ABS(M70))),
IF(D70="FW","XXFW",IF(D70="BIO","XXBI",IF(D70="ABWWP","XXWP",IF(D70="WP","XXWP",IF(D70="GG","XXGG","")))))
)</f>
        <v>XXFW</v>
      </c>
      <c r="AB70" t="s">
        <v>414</v>
      </c>
      <c r="AC70" s="14" t="s">
        <v>231</v>
      </c>
      <c r="AD70" s="166" t="s">
        <v>447</v>
      </c>
      <c r="AE70" s="14" t="s">
        <v>229</v>
      </c>
      <c r="AF70" s="88" t="s">
        <v>139</v>
      </c>
      <c r="AG70" s="88" t="s">
        <v>130</v>
      </c>
      <c r="AH70" s="86">
        <v>24</v>
      </c>
    </row>
    <row r="71" spans="1:34" ht="22.5" customHeight="1" x14ac:dyDescent="0.2">
      <c r="A71" s="33" t="s">
        <v>66</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c r="X71" s="32"/>
      <c r="Y71" s="32"/>
      <c r="Z71" s="32"/>
      <c r="AA71" t="str">
        <f>_xlfn.TEXTJOIN(
"XX",
TRUE,
IF(OR(F71="",F71=0),"",REPT(IF(F71&gt;0,"EN","EM"),ABS(F71))),
IF(OR(H71="",H71=0),"",REPT(IF(H71&gt;0,"BM","BP"),ABS(H71))),
REPT("SP",I71),
REPT("FL",J71),
REPT("WS",K71),
REPT("EF",L71),
IF(OR(M71="",M71=0),"",REPT(IF(M71&gt;0,"ZU","ZM"),ABS(M71))),
IF(D71="FW","XXFW",IF(D71="BIO","XXBI",IF(D71="ABWWP","XXWP",IF(D71="WP","XXWP",IF(D71="GG","XXGG","")))))
)</f>
        <v>EFEFXXXXWP</v>
      </c>
      <c r="AB71" t="s">
        <v>415</v>
      </c>
      <c r="AC71" s="64" t="s">
        <v>243</v>
      </c>
      <c r="AD71" s="166" t="s">
        <v>453</v>
      </c>
      <c r="AE71" s="64" t="s">
        <v>241</v>
      </c>
      <c r="AF71" s="144" t="s">
        <v>139</v>
      </c>
      <c r="AG71" s="144" t="s">
        <v>130</v>
      </c>
      <c r="AH71" s="153">
        <v>27</v>
      </c>
    </row>
    <row r="72" spans="1:34" ht="22.5" customHeight="1" x14ac:dyDescent="0.2">
      <c r="A72" s="12" t="s">
        <v>67</v>
      </c>
      <c r="B72" s="13" t="s">
        <v>25</v>
      </c>
      <c r="C72" s="14">
        <v>1</v>
      </c>
      <c r="D72" s="14" t="s">
        <v>68</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c r="X72" s="32"/>
      <c r="Y72" s="32"/>
      <c r="Z72" s="32"/>
      <c r="AA72" t="str">
        <f>_xlfn.TEXTJOIN(
"XX",
TRUE,
IF(OR(F72="",F72=0),"",REPT(IF(F72&gt;0,"EN","EM"),ABS(F72))),
IF(OR(H72="",H72=0),"",REPT(IF(H72&gt;0,"BM","BP"),ABS(H72))),
REPT("SP",I72),
REPT("FL",J72),
REPT("WS",K72),
REPT("EF",L72),
IF(OR(M72="",M72=0),"",REPT(IF(M72&gt;0,"ZU","ZM"),ABS(M72))),
IF(D72="FW","XXFW",IF(D72="BIO","XXBI",IF(D72="ABWWP","XXWP",IF(D72="WP","XXWP",IF(D72="GG","XXGG","")))))
)</f>
        <v>XXGG</v>
      </c>
      <c r="AB72" t="s">
        <v>416</v>
      </c>
      <c r="AC72" s="35"/>
      <c r="AD72" s="166" t="s">
        <v>454</v>
      </c>
      <c r="AE72" s="14" t="s">
        <v>248</v>
      </c>
      <c r="AF72" s="144" t="s">
        <v>139</v>
      </c>
      <c r="AG72" s="144" t="s">
        <v>130</v>
      </c>
      <c r="AH72" s="153">
        <v>32</v>
      </c>
    </row>
    <row r="73" spans="1:34" ht="22.5" customHeight="1" x14ac:dyDescent="0.2">
      <c r="A73" s="44" t="s">
        <v>70</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c r="X73" s="43"/>
      <c r="Y73" s="43"/>
      <c r="Z73" s="43"/>
      <c r="AA73" t="str">
        <f>_xlfn.TEXTJOIN(
"XX",
TRUE,
IF(OR(F73="",F73=0),"",REPT(IF(F73&gt;0,"EN","EM"),ABS(F73))),
IF(OR(H73="",H73=0),"",REPT(IF(H73&gt;0,"BM","BP"),ABS(H73))),
REPT("SP",I73),
REPT("FL",J73),
REPT("WS",K73),
REPT("EF",L73),
IF(OR(M73="",M73=0),"",REPT(IF(M73&gt;0,"ZU","ZM"),ABS(M73))),
IF(D73="FW","XXFW",IF(D73="BIO","XXBI",IF(D73="ABWWP","XXWP",IF(D73="WP","XXWP",IF(D73="GG","XXGG","")))))
)</f>
        <v/>
      </c>
      <c r="AB73" t="s">
        <v>417</v>
      </c>
      <c r="AC73" s="173" t="s">
        <v>252</v>
      </c>
      <c r="AD73" s="166" t="s">
        <v>458</v>
      </c>
      <c r="AE73" s="135" t="s">
        <v>250</v>
      </c>
      <c r="AF73" s="43" t="s">
        <v>139</v>
      </c>
      <c r="AG73" s="172"/>
      <c r="AH73" s="181">
        <v>37</v>
      </c>
    </row>
    <row r="74" spans="1:34" ht="22.5" customHeight="1" x14ac:dyDescent="0.2">
      <c r="A74" s="66" t="s">
        <v>102</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c r="X74" s="53"/>
      <c r="Y74" s="53"/>
      <c r="Z74" s="53"/>
      <c r="AA74" t="str">
        <f>_xlfn.TEXTJOIN(
"XX",
TRUE,
IF(OR(F74="",F74=0),"",REPT(IF(F74&gt;0,"EN","EM"),ABS(F74))),
IF(OR(H74="",H74=0),"",REPT(IF(H74&gt;0,"BM","BP"),ABS(H74))),
REPT("SP",I74),
REPT("FL",J74),
REPT("WS",K74),
REPT("EF",L74),
IF(OR(M74="",M74=0),"",REPT(IF(M74&gt;0,"ZU","ZM"),ABS(M74))),
IF(D74="FW","XXFW",IF(D74="BIO","XXBI",IF(D74="ABWWP","XXWP",IF(D74="WP","XXWP",IF(D74="GG","XXGG","")))))
)</f>
        <v>EFXXXXWP</v>
      </c>
      <c r="AB74" t="s">
        <v>418</v>
      </c>
      <c r="AC74" s="67" t="s">
        <v>246</v>
      </c>
      <c r="AD74" s="166" t="s">
        <v>480</v>
      </c>
      <c r="AE74" s="67" t="s">
        <v>244</v>
      </c>
      <c r="AF74" s="147" t="s">
        <v>247</v>
      </c>
      <c r="AG74" s="147" t="s">
        <v>130</v>
      </c>
      <c r="AH74" s="154">
        <v>28</v>
      </c>
    </row>
    <row r="75" spans="1:34" ht="22.5" customHeight="1" x14ac:dyDescent="0.2">
      <c r="A75" s="32"/>
      <c r="B75" s="77"/>
      <c r="C75" s="40"/>
      <c r="D75" s="40"/>
      <c r="E75" s="78"/>
      <c r="F75" s="17"/>
      <c r="G75" s="17"/>
      <c r="H75" s="120"/>
      <c r="I75" s="79"/>
      <c r="J75" s="80"/>
      <c r="K75" s="81"/>
      <c r="L75" s="82"/>
      <c r="M75" s="48"/>
      <c r="N75" s="48"/>
      <c r="O75" s="25"/>
      <c r="P75" s="16"/>
      <c r="Q75" s="26"/>
      <c r="R75" s="27"/>
      <c r="S75" s="28"/>
      <c r="T75" s="29"/>
      <c r="U75" s="30"/>
      <c r="V75" s="31"/>
      <c r="W75" s="31"/>
      <c r="X75" s="32"/>
      <c r="Y75" s="32"/>
      <c r="Z75" s="32"/>
      <c r="AC75" s="83"/>
      <c r="AD75" s="32"/>
      <c r="AE75" s="83"/>
      <c r="AF75" s="83"/>
      <c r="AG75" s="83"/>
      <c r="AH75" s="83"/>
    </row>
    <row r="76" spans="1:34" ht="22.5" customHeight="1" x14ac:dyDescent="0.2">
      <c r="A76" s="32"/>
      <c r="B76" s="77"/>
      <c r="C76" s="40"/>
      <c r="D76" s="40"/>
      <c r="E76" s="78"/>
      <c r="F76" s="17"/>
      <c r="G76" s="17"/>
      <c r="H76" s="120"/>
      <c r="I76" s="79"/>
      <c r="J76" s="80"/>
      <c r="K76" s="81"/>
      <c r="L76" s="82"/>
      <c r="M76" s="48"/>
      <c r="N76" s="48"/>
      <c r="O76" s="25"/>
      <c r="P76" s="16"/>
      <c r="Q76" s="26"/>
      <c r="R76" s="27"/>
      <c r="S76" s="28"/>
      <c r="T76" s="29"/>
      <c r="U76" s="30"/>
      <c r="V76" s="31"/>
      <c r="W76" s="31"/>
      <c r="X76" s="32"/>
      <c r="Y76" s="32"/>
      <c r="Z76" s="32"/>
      <c r="AC76" s="83"/>
      <c r="AD76" s="32"/>
      <c r="AE76" s="83"/>
      <c r="AF76" s="83"/>
      <c r="AG76" s="83"/>
      <c r="AH76" s="83"/>
    </row>
    <row r="77" spans="1:34" ht="22.5" customHeight="1" x14ac:dyDescent="0.2">
      <c r="A77" s="32"/>
      <c r="B77" s="77"/>
      <c r="C77" s="40"/>
      <c r="D77" s="40"/>
      <c r="E77" s="78"/>
      <c r="F77" s="17"/>
      <c r="G77" s="17"/>
      <c r="H77" s="120"/>
      <c r="I77" s="79"/>
      <c r="J77" s="80"/>
      <c r="K77" s="81"/>
      <c r="L77" s="82"/>
      <c r="M77" s="48"/>
      <c r="N77" s="48"/>
      <c r="O77" s="25"/>
      <c r="P77" s="16"/>
      <c r="Q77" s="26"/>
      <c r="R77" s="27"/>
      <c r="S77" s="28"/>
      <c r="T77" s="29"/>
      <c r="U77" s="30"/>
      <c r="V77" s="31"/>
      <c r="W77" s="31"/>
      <c r="X77" s="32"/>
      <c r="Y77" s="32"/>
      <c r="Z77" s="32"/>
      <c r="AC77" s="83"/>
      <c r="AD77" s="32"/>
      <c r="AE77" s="83"/>
      <c r="AF77" s="83"/>
      <c r="AG77" s="83"/>
      <c r="AH77" s="83"/>
    </row>
    <row r="78" spans="1:34" ht="22.5" customHeight="1" x14ac:dyDescent="0.2">
      <c r="A78" s="32"/>
      <c r="B78" s="77"/>
      <c r="C78" s="40"/>
      <c r="D78" s="40"/>
      <c r="E78" s="78"/>
      <c r="F78" s="17"/>
      <c r="G78" s="17"/>
      <c r="H78" s="120"/>
      <c r="I78" s="79"/>
      <c r="J78" s="80"/>
      <c r="K78" s="81"/>
      <c r="L78" s="82"/>
      <c r="M78" s="48"/>
      <c r="N78" s="48"/>
      <c r="O78" s="25"/>
      <c r="P78" s="16"/>
      <c r="Q78" s="26"/>
      <c r="R78" s="27"/>
      <c r="S78" s="28"/>
      <c r="T78" s="29"/>
      <c r="U78" s="30"/>
      <c r="V78" s="31"/>
      <c r="W78" s="31"/>
      <c r="X78" s="32"/>
      <c r="Y78" s="32"/>
      <c r="Z78" s="32"/>
      <c r="AC78" s="83"/>
      <c r="AD78" s="32"/>
      <c r="AE78" s="83"/>
      <c r="AF78" s="83"/>
      <c r="AG78" s="83"/>
      <c r="AH78" s="83"/>
    </row>
    <row r="79" spans="1:34" ht="22.5" customHeight="1" x14ac:dyDescent="0.2">
      <c r="A79" s="32"/>
      <c r="B79" s="77"/>
      <c r="C79" s="40"/>
      <c r="D79" s="40"/>
      <c r="E79" s="78"/>
      <c r="F79" s="17"/>
      <c r="G79" s="17"/>
      <c r="H79" s="120"/>
      <c r="I79" s="79"/>
      <c r="J79" s="80"/>
      <c r="K79" s="81"/>
      <c r="L79" s="82"/>
      <c r="M79" s="48"/>
      <c r="N79" s="48"/>
      <c r="O79" s="25"/>
      <c r="P79" s="16"/>
      <c r="Q79" s="26"/>
      <c r="R79" s="27"/>
      <c r="S79" s="28"/>
      <c r="T79" s="29"/>
      <c r="U79" s="30"/>
      <c r="V79" s="31"/>
      <c r="W79" s="31"/>
      <c r="X79" s="32"/>
      <c r="Y79" s="32"/>
      <c r="Z79" s="32"/>
      <c r="AC79" s="83"/>
      <c r="AD79" s="32"/>
      <c r="AE79" s="83"/>
      <c r="AF79" s="83"/>
      <c r="AG79" s="83"/>
      <c r="AH79" s="83"/>
    </row>
    <row r="80" spans="1:34" ht="22.5" customHeight="1" x14ac:dyDescent="0.2">
      <c r="A80" s="32"/>
      <c r="B80" s="77"/>
      <c r="C80" s="40"/>
      <c r="D80" s="40"/>
      <c r="E80" s="78"/>
      <c r="F80" s="17"/>
      <c r="G80" s="17"/>
      <c r="H80" s="120"/>
      <c r="I80" s="79"/>
      <c r="J80" s="80"/>
      <c r="K80" s="81"/>
      <c r="L80" s="82"/>
      <c r="M80" s="48"/>
      <c r="N80" s="48"/>
      <c r="O80" s="25"/>
      <c r="P80" s="16"/>
      <c r="Q80" s="26"/>
      <c r="R80" s="27"/>
      <c r="S80" s="28"/>
      <c r="T80" s="29"/>
      <c r="U80" s="30"/>
      <c r="V80" s="31"/>
      <c r="W80" s="31"/>
      <c r="X80" s="32"/>
      <c r="Y80" s="32"/>
      <c r="Z80" s="32"/>
      <c r="AC80" s="83"/>
      <c r="AD80" s="32"/>
      <c r="AE80" s="83"/>
      <c r="AF80" s="83"/>
      <c r="AG80" s="83"/>
      <c r="AH80" s="83"/>
    </row>
    <row r="81" spans="1:34" ht="22.5" customHeight="1" x14ac:dyDescent="0.2">
      <c r="A81" s="32"/>
      <c r="B81" s="77"/>
      <c r="C81" s="40"/>
      <c r="D81" s="40"/>
      <c r="E81" s="78"/>
      <c r="F81" s="17"/>
      <c r="G81" s="17"/>
      <c r="H81" s="120"/>
      <c r="I81" s="79"/>
      <c r="J81" s="80"/>
      <c r="K81" s="81"/>
      <c r="L81" s="82"/>
      <c r="M81" s="48"/>
      <c r="N81" s="48"/>
      <c r="O81" s="25"/>
      <c r="P81" s="16"/>
      <c r="Q81" s="26"/>
      <c r="R81" s="27"/>
      <c r="S81" s="28"/>
      <c r="T81" s="29"/>
      <c r="U81" s="30"/>
      <c r="V81" s="31"/>
      <c r="W81" s="31"/>
      <c r="X81" s="32"/>
      <c r="Y81" s="32"/>
      <c r="Z81" s="32"/>
      <c r="AC81" s="83"/>
      <c r="AD81" s="32"/>
      <c r="AE81" s="83"/>
      <c r="AF81" s="83"/>
      <c r="AG81" s="83"/>
      <c r="AH81" s="83"/>
    </row>
    <row r="82" spans="1:34" ht="22.5" customHeight="1" x14ac:dyDescent="0.2">
      <c r="A82" s="32"/>
      <c r="B82" s="77"/>
      <c r="C82" s="40"/>
      <c r="D82" s="40"/>
      <c r="E82" s="78"/>
      <c r="F82" s="17"/>
      <c r="G82" s="17"/>
      <c r="H82" s="120"/>
      <c r="I82" s="79"/>
      <c r="J82" s="80"/>
      <c r="K82" s="81"/>
      <c r="L82" s="82"/>
      <c r="M82" s="48"/>
      <c r="N82" s="48"/>
      <c r="O82" s="25"/>
      <c r="P82" s="16"/>
      <c r="Q82" s="26"/>
      <c r="R82" s="27"/>
      <c r="S82" s="28"/>
      <c r="T82" s="29"/>
      <c r="U82" s="30"/>
      <c r="V82" s="31"/>
      <c r="W82" s="31"/>
      <c r="X82" s="32"/>
      <c r="Y82" s="32"/>
      <c r="Z82" s="32"/>
      <c r="AC82" s="83"/>
      <c r="AD82" s="32"/>
      <c r="AE82" s="83"/>
      <c r="AF82" s="83"/>
      <c r="AG82" s="83"/>
      <c r="AH82" s="83"/>
    </row>
    <row r="83" spans="1:34" ht="22.5" customHeight="1" x14ac:dyDescent="0.2">
      <c r="A83" s="32"/>
      <c r="B83" s="77"/>
      <c r="C83" s="40"/>
      <c r="D83" s="40"/>
      <c r="E83" s="78"/>
      <c r="F83" s="17"/>
      <c r="G83" s="17"/>
      <c r="H83" s="120"/>
      <c r="I83" s="79"/>
      <c r="J83" s="80"/>
      <c r="K83" s="81"/>
      <c r="L83" s="82"/>
      <c r="M83" s="48"/>
      <c r="N83" s="48"/>
      <c r="O83" s="25"/>
      <c r="P83" s="16"/>
      <c r="Q83" s="26"/>
      <c r="R83" s="27"/>
      <c r="S83" s="28"/>
      <c r="T83" s="29"/>
      <c r="U83" s="30"/>
      <c r="V83" s="31"/>
      <c r="W83" s="31"/>
      <c r="X83" s="32"/>
      <c r="Y83" s="32"/>
      <c r="Z83" s="32"/>
      <c r="AC83" s="83"/>
      <c r="AD83" s="32"/>
      <c r="AE83" s="83"/>
      <c r="AF83" s="83"/>
      <c r="AG83" s="83"/>
      <c r="AH83" s="83"/>
    </row>
    <row r="84" spans="1:34" ht="22.5" customHeight="1" x14ac:dyDescent="0.2">
      <c r="A84" s="32"/>
      <c r="B84" s="77"/>
      <c r="C84" s="40"/>
      <c r="D84" s="40"/>
      <c r="E84" s="78"/>
      <c r="F84" s="17"/>
      <c r="G84" s="17"/>
      <c r="H84" s="120"/>
      <c r="I84" s="79"/>
      <c r="J84" s="80"/>
      <c r="K84" s="81"/>
      <c r="L84" s="82"/>
      <c r="M84" s="48"/>
      <c r="N84" s="48"/>
      <c r="O84" s="25"/>
      <c r="P84" s="16"/>
      <c r="Q84" s="26"/>
      <c r="R84" s="27"/>
      <c r="S84" s="28"/>
      <c r="T84" s="29"/>
      <c r="U84" s="30"/>
      <c r="V84" s="31"/>
      <c r="W84" s="31"/>
      <c r="X84" s="32"/>
      <c r="Y84" s="32"/>
      <c r="Z84" s="32"/>
      <c r="AC84" s="83"/>
      <c r="AD84" s="32"/>
      <c r="AE84" s="83"/>
      <c r="AF84" s="83"/>
      <c r="AG84" s="83"/>
      <c r="AH84" s="83"/>
    </row>
    <row r="85" spans="1:34" ht="22.5" customHeight="1" x14ac:dyDescent="0.2">
      <c r="A85" s="32"/>
      <c r="B85" s="77"/>
      <c r="C85" s="40"/>
      <c r="D85" s="40"/>
      <c r="E85" s="78"/>
      <c r="F85" s="17"/>
      <c r="G85" s="17"/>
      <c r="H85" s="120"/>
      <c r="I85" s="79"/>
      <c r="J85" s="80"/>
      <c r="K85" s="81"/>
      <c r="L85" s="82"/>
      <c r="M85" s="48"/>
      <c r="N85" s="48"/>
      <c r="O85" s="25"/>
      <c r="P85" s="16"/>
      <c r="Q85" s="26"/>
      <c r="R85" s="27"/>
      <c r="S85" s="28"/>
      <c r="T85" s="29"/>
      <c r="U85" s="30"/>
      <c r="V85" s="31"/>
      <c r="W85" s="31"/>
      <c r="X85" s="32"/>
      <c r="Y85" s="32"/>
      <c r="Z85" s="32"/>
      <c r="AC85" s="83"/>
      <c r="AD85" s="32"/>
      <c r="AE85" s="83"/>
      <c r="AF85" s="83"/>
      <c r="AG85" s="83"/>
      <c r="AH85" s="83"/>
    </row>
    <row r="86" spans="1:34" ht="22.5" customHeight="1" x14ac:dyDescent="0.2">
      <c r="A86" s="32"/>
      <c r="B86" s="77"/>
      <c r="C86" s="40"/>
      <c r="D86" s="40"/>
      <c r="E86" s="78"/>
      <c r="F86" s="17"/>
      <c r="G86" s="17"/>
      <c r="H86" s="120"/>
      <c r="I86" s="79"/>
      <c r="J86" s="80"/>
      <c r="K86" s="81"/>
      <c r="L86" s="82"/>
      <c r="M86" s="48"/>
      <c r="N86" s="48"/>
      <c r="O86" s="25"/>
      <c r="P86" s="16"/>
      <c r="Q86" s="26"/>
      <c r="R86" s="27"/>
      <c r="S86" s="28"/>
      <c r="T86" s="29"/>
      <c r="U86" s="30"/>
      <c r="V86" s="31"/>
      <c r="W86" s="31"/>
      <c r="X86" s="32"/>
      <c r="Y86" s="32"/>
      <c r="Z86" s="32"/>
      <c r="AC86" s="83"/>
      <c r="AD86" s="32"/>
      <c r="AE86" s="83"/>
      <c r="AF86" s="83"/>
      <c r="AG86" s="83"/>
      <c r="AH86" s="83"/>
    </row>
    <row r="87" spans="1:34" ht="22.5" customHeight="1" x14ac:dyDescent="0.2">
      <c r="A87" s="32"/>
      <c r="B87" s="77"/>
      <c r="C87" s="40"/>
      <c r="D87" s="40"/>
      <c r="E87" s="78"/>
      <c r="F87" s="17"/>
      <c r="G87" s="17"/>
      <c r="H87" s="120"/>
      <c r="I87" s="79"/>
      <c r="J87" s="80"/>
      <c r="K87" s="81"/>
      <c r="L87" s="82"/>
      <c r="M87" s="48"/>
      <c r="N87" s="48"/>
      <c r="O87" s="25"/>
      <c r="P87" s="16"/>
      <c r="Q87" s="26"/>
      <c r="R87" s="27"/>
      <c r="S87" s="28"/>
      <c r="T87" s="29"/>
      <c r="U87" s="30"/>
      <c r="V87" s="31"/>
      <c r="W87" s="31"/>
      <c r="X87" s="32"/>
      <c r="Y87" s="32"/>
      <c r="Z87" s="32"/>
      <c r="AC87" s="83"/>
      <c r="AD87" s="32"/>
      <c r="AE87" s="83"/>
      <c r="AF87" s="83"/>
      <c r="AG87" s="83"/>
      <c r="AH87" s="83"/>
    </row>
    <row r="88" spans="1:34" ht="22.5" customHeight="1" x14ac:dyDescent="0.2">
      <c r="A88" s="32"/>
      <c r="B88" s="77"/>
      <c r="C88" s="40"/>
      <c r="D88" s="40"/>
      <c r="E88" s="78"/>
      <c r="F88" s="17"/>
      <c r="G88" s="17"/>
      <c r="H88" s="120"/>
      <c r="I88" s="79"/>
      <c r="J88" s="80"/>
      <c r="K88" s="81"/>
      <c r="L88" s="82"/>
      <c r="M88" s="48"/>
      <c r="N88" s="48"/>
      <c r="O88" s="25"/>
      <c r="P88" s="16"/>
      <c r="Q88" s="26"/>
      <c r="R88" s="27"/>
      <c r="S88" s="28"/>
      <c r="T88" s="29"/>
      <c r="U88" s="30"/>
      <c r="V88" s="31"/>
      <c r="W88" s="31"/>
      <c r="X88" s="32"/>
      <c r="Y88" s="32"/>
      <c r="Z88" s="32"/>
      <c r="AC88" s="83"/>
      <c r="AD88" s="32"/>
      <c r="AE88" s="83"/>
      <c r="AF88" s="83"/>
      <c r="AG88" s="83"/>
      <c r="AH88" s="83"/>
    </row>
    <row r="89" spans="1:34" ht="22.5" customHeight="1" x14ac:dyDescent="0.2">
      <c r="A89" s="32"/>
      <c r="B89" s="77"/>
      <c r="C89" s="40"/>
      <c r="D89" s="40"/>
      <c r="E89" s="78"/>
      <c r="F89" s="17"/>
      <c r="G89" s="17"/>
      <c r="H89" s="120"/>
      <c r="I89" s="79"/>
      <c r="J89" s="80"/>
      <c r="K89" s="81"/>
      <c r="L89" s="82"/>
      <c r="M89" s="48"/>
      <c r="N89" s="48"/>
      <c r="O89" s="25"/>
      <c r="P89" s="16"/>
      <c r="Q89" s="26"/>
      <c r="R89" s="27"/>
      <c r="S89" s="28"/>
      <c r="T89" s="29"/>
      <c r="U89" s="30"/>
      <c r="V89" s="31"/>
      <c r="W89" s="31"/>
      <c r="X89" s="32"/>
      <c r="Y89" s="32"/>
      <c r="Z89" s="32"/>
      <c r="AC89" s="83"/>
      <c r="AD89" s="32"/>
      <c r="AE89" s="83"/>
      <c r="AF89" s="83"/>
      <c r="AG89" s="83"/>
      <c r="AH89" s="83"/>
    </row>
    <row r="90" spans="1:34" ht="22.5" customHeight="1" x14ac:dyDescent="0.2">
      <c r="A90" s="32"/>
      <c r="B90" s="77"/>
      <c r="C90" s="40"/>
      <c r="D90" s="40"/>
      <c r="E90" s="78"/>
      <c r="F90" s="17"/>
      <c r="G90" s="17"/>
      <c r="H90" s="120"/>
      <c r="I90" s="79"/>
      <c r="J90" s="80"/>
      <c r="K90" s="81"/>
      <c r="L90" s="82"/>
      <c r="M90" s="48"/>
      <c r="N90" s="48"/>
      <c r="O90" s="25"/>
      <c r="P90" s="16"/>
      <c r="Q90" s="26"/>
      <c r="R90" s="27"/>
      <c r="S90" s="28"/>
      <c r="T90" s="29"/>
      <c r="U90" s="30"/>
      <c r="V90" s="31"/>
      <c r="W90" s="31"/>
      <c r="X90" s="32"/>
      <c r="Y90" s="32"/>
      <c r="Z90" s="32"/>
      <c r="AC90" s="83"/>
      <c r="AD90" s="32"/>
      <c r="AE90" s="83"/>
      <c r="AF90" s="83"/>
      <c r="AG90" s="83"/>
      <c r="AH90" s="83"/>
    </row>
    <row r="91" spans="1:34" ht="22.5" customHeight="1" x14ac:dyDescent="0.2">
      <c r="A91" s="32"/>
      <c r="B91" s="77"/>
      <c r="C91" s="40"/>
      <c r="D91" s="40"/>
      <c r="E91" s="78"/>
      <c r="F91" s="17"/>
      <c r="G91" s="17"/>
      <c r="H91" s="120"/>
      <c r="I91" s="79"/>
      <c r="J91" s="80"/>
      <c r="K91" s="81"/>
      <c r="L91" s="82"/>
      <c r="M91" s="48"/>
      <c r="N91" s="48"/>
      <c r="O91" s="25"/>
      <c r="P91" s="16"/>
      <c r="Q91" s="26"/>
      <c r="R91" s="27"/>
      <c r="S91" s="28"/>
      <c r="T91" s="29"/>
      <c r="U91" s="30"/>
      <c r="V91" s="31"/>
      <c r="W91" s="31"/>
      <c r="X91" s="32"/>
      <c r="Y91" s="32"/>
      <c r="Z91" s="32"/>
      <c r="AC91" s="83"/>
      <c r="AD91" s="32"/>
      <c r="AE91" s="83"/>
      <c r="AF91" s="83"/>
      <c r="AG91" s="83"/>
      <c r="AH91" s="83"/>
    </row>
    <row r="92" spans="1:34" ht="22.5" customHeight="1" x14ac:dyDescent="0.2">
      <c r="A92" s="32"/>
      <c r="B92" s="77"/>
      <c r="C92" s="40"/>
      <c r="D92" s="40"/>
      <c r="E92" s="78"/>
      <c r="F92" s="17"/>
      <c r="G92" s="17"/>
      <c r="H92" s="120"/>
      <c r="I92" s="79"/>
      <c r="J92" s="80"/>
      <c r="K92" s="81"/>
      <c r="L92" s="82"/>
      <c r="M92" s="48"/>
      <c r="N92" s="48"/>
      <c r="O92" s="25"/>
      <c r="P92" s="16"/>
      <c r="Q92" s="26"/>
      <c r="R92" s="27"/>
      <c r="S92" s="28"/>
      <c r="T92" s="29"/>
      <c r="U92" s="30"/>
      <c r="V92" s="31"/>
      <c r="W92" s="31"/>
      <c r="X92" s="32"/>
      <c r="Y92" s="32"/>
      <c r="Z92" s="32"/>
      <c r="AC92" s="83"/>
      <c r="AD92" s="32"/>
      <c r="AE92" s="83"/>
      <c r="AF92" s="83"/>
      <c r="AG92" s="83"/>
      <c r="AH92" s="83"/>
    </row>
    <row r="93" spans="1:34" ht="22.5" customHeight="1" x14ac:dyDescent="0.2">
      <c r="A93" s="32"/>
      <c r="B93" s="77"/>
      <c r="C93" s="40"/>
      <c r="D93" s="40"/>
      <c r="E93" s="78"/>
      <c r="F93" s="17"/>
      <c r="G93" s="17"/>
      <c r="H93" s="120"/>
      <c r="I93" s="79"/>
      <c r="J93" s="80"/>
      <c r="K93" s="81"/>
      <c r="L93" s="82"/>
      <c r="M93" s="48"/>
      <c r="N93" s="48"/>
      <c r="O93" s="25"/>
      <c r="P93" s="16"/>
      <c r="Q93" s="26"/>
      <c r="R93" s="27"/>
      <c r="S93" s="28"/>
      <c r="T93" s="29"/>
      <c r="U93" s="30"/>
      <c r="V93" s="31"/>
      <c r="W93" s="31"/>
      <c r="X93" s="32"/>
      <c r="Y93" s="32"/>
      <c r="Z93" s="32"/>
      <c r="AC93" s="83"/>
      <c r="AD93" s="32"/>
      <c r="AE93" s="83"/>
      <c r="AF93" s="83"/>
      <c r="AG93" s="83"/>
      <c r="AH93" s="83"/>
    </row>
    <row r="94" spans="1:34" ht="22.5" customHeight="1" x14ac:dyDescent="0.2">
      <c r="A94" s="32"/>
      <c r="B94" s="77"/>
      <c r="C94" s="40"/>
      <c r="D94" s="40"/>
      <c r="E94" s="78"/>
      <c r="F94" s="17"/>
      <c r="G94" s="17"/>
      <c r="H94" s="120"/>
      <c r="I94" s="79"/>
      <c r="J94" s="80"/>
      <c r="K94" s="81"/>
      <c r="L94" s="82"/>
      <c r="M94" s="48"/>
      <c r="N94" s="48"/>
      <c r="O94" s="25"/>
      <c r="P94" s="16"/>
      <c r="Q94" s="26"/>
      <c r="R94" s="27"/>
      <c r="S94" s="28"/>
      <c r="T94" s="29"/>
      <c r="U94" s="30"/>
      <c r="V94" s="31"/>
      <c r="W94" s="31"/>
      <c r="X94" s="32"/>
      <c r="Y94" s="32"/>
      <c r="Z94" s="32"/>
      <c r="AC94" s="83"/>
      <c r="AD94" s="32"/>
      <c r="AE94" s="83"/>
      <c r="AF94" s="83"/>
      <c r="AG94" s="83"/>
      <c r="AH94" s="83"/>
    </row>
    <row r="95" spans="1:34" ht="22.5" customHeight="1" x14ac:dyDescent="0.2">
      <c r="A95" s="32"/>
      <c r="B95" s="77"/>
      <c r="C95" s="40"/>
      <c r="D95" s="40"/>
      <c r="E95" s="78"/>
      <c r="F95" s="17"/>
      <c r="G95" s="17"/>
      <c r="H95" s="120"/>
      <c r="I95" s="79"/>
      <c r="J95" s="80"/>
      <c r="K95" s="81"/>
      <c r="L95" s="82"/>
      <c r="M95" s="48"/>
      <c r="N95" s="48"/>
      <c r="O95" s="25"/>
      <c r="P95" s="16"/>
      <c r="Q95" s="26"/>
      <c r="R95" s="27"/>
      <c r="S95" s="28"/>
      <c r="T95" s="29"/>
      <c r="U95" s="30"/>
      <c r="V95" s="31"/>
      <c r="W95" s="31"/>
      <c r="X95" s="32"/>
      <c r="Y95" s="32"/>
      <c r="Z95" s="32"/>
      <c r="AC95" s="83"/>
      <c r="AD95" s="32"/>
      <c r="AE95" s="83"/>
      <c r="AF95" s="83"/>
      <c r="AG95" s="83"/>
      <c r="AH95" s="83"/>
    </row>
    <row r="96" spans="1:34" ht="22.5" customHeight="1" x14ac:dyDescent="0.2">
      <c r="A96" s="32"/>
      <c r="B96" s="77"/>
      <c r="C96" s="40"/>
      <c r="D96" s="40"/>
      <c r="E96" s="78"/>
      <c r="F96" s="17"/>
      <c r="G96" s="17"/>
      <c r="H96" s="120"/>
      <c r="I96" s="79"/>
      <c r="J96" s="80"/>
      <c r="K96" s="81"/>
      <c r="L96" s="82"/>
      <c r="M96" s="48"/>
      <c r="N96" s="48"/>
      <c r="O96" s="25"/>
      <c r="P96" s="16"/>
      <c r="Q96" s="26"/>
      <c r="R96" s="27"/>
      <c r="S96" s="28"/>
      <c r="T96" s="29"/>
      <c r="U96" s="30"/>
      <c r="V96" s="31"/>
      <c r="W96" s="31"/>
      <c r="X96" s="32"/>
      <c r="Y96" s="32"/>
      <c r="Z96" s="32"/>
      <c r="AC96" s="83"/>
      <c r="AD96" s="32"/>
      <c r="AE96" s="83"/>
      <c r="AF96" s="83"/>
      <c r="AG96" s="83"/>
      <c r="AH96" s="83"/>
    </row>
    <row r="97" spans="1:38" ht="22.5" customHeight="1" x14ac:dyDescent="0.2">
      <c r="A97" s="32"/>
      <c r="B97" s="77"/>
      <c r="C97" s="40"/>
      <c r="D97" s="40"/>
      <c r="E97" s="78"/>
      <c r="F97" s="17"/>
      <c r="G97" s="17"/>
      <c r="H97" s="120"/>
      <c r="I97" s="79"/>
      <c r="J97" s="80"/>
      <c r="K97" s="81"/>
      <c r="L97" s="82"/>
      <c r="M97" s="48"/>
      <c r="N97" s="48"/>
      <c r="O97" s="25"/>
      <c r="P97" s="16"/>
      <c r="Q97" s="26"/>
      <c r="R97" s="27"/>
      <c r="S97" s="28"/>
      <c r="T97" s="29"/>
      <c r="U97" s="30"/>
      <c r="V97" s="31"/>
      <c r="W97" s="31"/>
      <c r="X97" s="32"/>
      <c r="Y97" s="32"/>
      <c r="Z97" s="32"/>
      <c r="AC97" s="83"/>
      <c r="AD97" s="32"/>
      <c r="AE97" s="83"/>
      <c r="AF97" s="83"/>
      <c r="AG97" s="83"/>
      <c r="AH97" s="83"/>
    </row>
    <row r="98" spans="1:38" ht="22.5" customHeight="1" x14ac:dyDescent="0.2">
      <c r="A98" s="32"/>
      <c r="B98" s="77"/>
      <c r="C98" s="40"/>
      <c r="D98" s="40"/>
      <c r="E98" s="78"/>
      <c r="F98" s="17"/>
      <c r="G98" s="17"/>
      <c r="H98" s="120"/>
      <c r="I98" s="79"/>
      <c r="J98" s="80"/>
      <c r="K98" s="81"/>
      <c r="L98" s="82"/>
      <c r="M98" s="48"/>
      <c r="N98" s="48"/>
      <c r="O98" s="25"/>
      <c r="P98" s="16"/>
      <c r="Q98" s="26"/>
      <c r="R98" s="27"/>
      <c r="S98" s="28"/>
      <c r="T98" s="29"/>
      <c r="U98" s="30"/>
      <c r="V98" s="31"/>
      <c r="W98" s="31"/>
      <c r="X98" s="32"/>
      <c r="Y98" s="32"/>
      <c r="Z98" s="32"/>
      <c r="AC98" s="83"/>
      <c r="AD98" s="32"/>
      <c r="AE98" s="83"/>
      <c r="AF98" s="83"/>
      <c r="AG98" s="83"/>
      <c r="AH98" s="83"/>
    </row>
    <row r="99" spans="1:38" ht="22.5" customHeight="1" x14ac:dyDescent="0.2">
      <c r="A99" s="32"/>
      <c r="B99" s="77"/>
      <c r="C99" s="40"/>
      <c r="D99" s="40"/>
      <c r="E99" s="78"/>
      <c r="F99" s="17"/>
      <c r="G99" s="17"/>
      <c r="H99" s="120"/>
      <c r="I99" s="79"/>
      <c r="J99" s="80"/>
      <c r="K99" s="81"/>
      <c r="L99" s="82"/>
      <c r="M99" s="48"/>
      <c r="N99" s="48"/>
      <c r="O99" s="25"/>
      <c r="P99" s="16"/>
      <c r="Q99" s="26"/>
      <c r="R99" s="27"/>
      <c r="S99" s="28"/>
      <c r="T99" s="29"/>
      <c r="U99" s="30"/>
      <c r="V99" s="31"/>
      <c r="W99" s="31"/>
      <c r="X99" s="32"/>
      <c r="Y99" s="32"/>
      <c r="Z99" s="32"/>
      <c r="AC99" s="83"/>
      <c r="AD99" s="32"/>
      <c r="AE99" s="83"/>
      <c r="AF99" s="83"/>
      <c r="AG99" s="83"/>
      <c r="AH99" s="83"/>
    </row>
    <row r="100" spans="1:38" ht="22.5" customHeight="1" x14ac:dyDescent="0.2">
      <c r="A100" s="32"/>
      <c r="B100" s="77"/>
      <c r="C100" s="40"/>
      <c r="D100" s="40"/>
      <c r="E100" s="78"/>
      <c r="F100" s="17"/>
      <c r="G100" s="17"/>
      <c r="H100" s="120"/>
      <c r="I100" s="79"/>
      <c r="J100" s="80"/>
      <c r="K100" s="81"/>
      <c r="L100" s="82"/>
      <c r="M100" s="48"/>
      <c r="N100" s="48"/>
      <c r="O100" s="25"/>
      <c r="P100" s="16"/>
      <c r="Q100" s="26"/>
      <c r="R100" s="27"/>
      <c r="S100" s="28"/>
      <c r="T100" s="29"/>
      <c r="U100" s="30"/>
      <c r="V100" s="31"/>
      <c r="W100" s="31"/>
      <c r="X100" s="32"/>
      <c r="Y100" s="32"/>
      <c r="Z100" s="32"/>
      <c r="AC100" s="83"/>
      <c r="AD100" s="32"/>
      <c r="AE100" s="83"/>
      <c r="AF100" s="83"/>
      <c r="AG100" s="83"/>
      <c r="AH100" s="83"/>
    </row>
    <row r="101" spans="1:38" ht="22.5" customHeight="1" x14ac:dyDescent="0.2">
      <c r="A101" s="32"/>
      <c r="B101" s="77"/>
      <c r="C101" s="40"/>
      <c r="D101" s="40"/>
      <c r="E101" s="78"/>
      <c r="F101" s="17"/>
      <c r="G101" s="17"/>
      <c r="H101" s="120"/>
      <c r="I101" s="79"/>
      <c r="J101" s="80"/>
      <c r="K101" s="81"/>
      <c r="L101" s="82"/>
      <c r="M101" s="48"/>
      <c r="N101" s="48"/>
      <c r="O101" s="25"/>
      <c r="P101" s="16"/>
      <c r="Q101" s="26"/>
      <c r="R101" s="27"/>
      <c r="S101" s="28"/>
      <c r="T101" s="29"/>
      <c r="U101" s="30"/>
      <c r="V101" s="31"/>
      <c r="W101" s="31"/>
      <c r="X101" s="32"/>
      <c r="Y101" s="32"/>
      <c r="Z101" s="32"/>
      <c r="AC101" s="83"/>
      <c r="AD101" s="32"/>
      <c r="AE101" s="83"/>
      <c r="AF101" s="83"/>
      <c r="AG101" s="83"/>
      <c r="AH101" s="83"/>
    </row>
    <row r="102" spans="1:38" ht="22.5" customHeight="1" x14ac:dyDescent="0.2">
      <c r="A102" s="32"/>
      <c r="B102" s="77"/>
      <c r="C102" s="40"/>
      <c r="D102" s="40"/>
      <c r="E102" s="78"/>
      <c r="F102" s="17"/>
      <c r="G102" s="17"/>
      <c r="H102" s="120"/>
      <c r="I102" s="79"/>
      <c r="J102" s="80"/>
      <c r="K102" s="81"/>
      <c r="L102" s="82"/>
      <c r="M102" s="48"/>
      <c r="N102" s="48"/>
      <c r="O102" s="25"/>
      <c r="P102" s="16"/>
      <c r="Q102" s="26"/>
      <c r="R102" s="27"/>
      <c r="S102" s="28"/>
      <c r="T102" s="29"/>
      <c r="U102" s="30"/>
      <c r="V102" s="31"/>
      <c r="W102" s="31"/>
      <c r="X102" s="32"/>
      <c r="Y102" s="32"/>
      <c r="Z102" s="32"/>
      <c r="AC102" s="83"/>
      <c r="AD102" s="32"/>
      <c r="AE102" s="83"/>
      <c r="AF102" s="83"/>
      <c r="AG102" s="83"/>
      <c r="AH102" s="83"/>
    </row>
    <row r="103" spans="1:38" ht="22.5" customHeight="1" x14ac:dyDescent="0.2">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c r="AK103" s="83"/>
      <c r="AL103" s="83"/>
    </row>
    <row r="104" spans="1:38" ht="22.5" customHeight="1" x14ac:dyDescent="0.2">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c r="AK104" s="83"/>
      <c r="AL104" s="83"/>
    </row>
    <row r="105" spans="1:38" ht="22.5" customHeight="1" x14ac:dyDescent="0.2">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c r="AK105" s="83"/>
      <c r="AL105" s="83"/>
    </row>
    <row r="106" spans="1:38" ht="22.5" customHeight="1" x14ac:dyDescent="0.2">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c r="AK106" s="83"/>
      <c r="AL106" s="83"/>
    </row>
    <row r="107" spans="1:38" ht="22.5" customHeight="1" x14ac:dyDescent="0.2">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c r="AK107" s="83"/>
      <c r="AL107" s="83"/>
    </row>
    <row r="108" spans="1:38" ht="22.5" customHeight="1" x14ac:dyDescent="0.2">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c r="AK108" s="83"/>
      <c r="AL108" s="83"/>
    </row>
    <row r="109" spans="1:38" ht="22.5" customHeight="1" x14ac:dyDescent="0.2">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c r="AK109" s="83"/>
      <c r="AL109" s="83"/>
    </row>
    <row r="110" spans="1:38" ht="22.5" customHeight="1" x14ac:dyDescent="0.2">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c r="AK110" s="83"/>
      <c r="AL110" s="83"/>
    </row>
    <row r="111" spans="1:38" ht="22.5" customHeight="1" x14ac:dyDescent="0.2">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c r="AK111" s="83"/>
      <c r="AL111" s="83"/>
    </row>
    <row r="112" spans="1:38" ht="22.5" customHeight="1" x14ac:dyDescent="0.2">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c r="AK112" s="83"/>
      <c r="AL112" s="83"/>
    </row>
    <row r="113" spans="3:38" ht="22.5" customHeight="1" x14ac:dyDescent="0.2">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c r="AK113" s="83"/>
      <c r="AL113" s="83"/>
    </row>
    <row r="114" spans="3:38" ht="22.5" customHeight="1" x14ac:dyDescent="0.2">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c r="AK114" s="83"/>
      <c r="AL114" s="83"/>
    </row>
    <row r="115" spans="3:38" ht="22.5" customHeight="1" x14ac:dyDescent="0.2">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c r="AK115" s="83"/>
      <c r="AL115" s="83"/>
    </row>
    <row r="116" spans="3:38" ht="22.5" customHeight="1" x14ac:dyDescent="0.2">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c r="AK116" s="83"/>
      <c r="AL116" s="83"/>
    </row>
    <row r="117" spans="3:38" ht="22.5" customHeight="1" x14ac:dyDescent="0.2">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c r="AK117" s="83"/>
      <c r="AL117" s="83"/>
    </row>
    <row r="118" spans="3:38" ht="22.5" customHeight="1" x14ac:dyDescent="0.2">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c r="AK118" s="83"/>
      <c r="AL118" s="83"/>
    </row>
    <row r="119" spans="3:38" ht="22.5" customHeight="1" x14ac:dyDescent="0.2">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c r="AK119" s="83"/>
      <c r="AL119" s="83"/>
    </row>
    <row r="120" spans="3:38" ht="22.5" customHeight="1" x14ac:dyDescent="0.2">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c r="AK120" s="83"/>
      <c r="AL120" s="83"/>
    </row>
    <row r="121" spans="3:38" ht="22.5" customHeight="1" x14ac:dyDescent="0.2">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c r="AK121" s="83"/>
      <c r="AL121" s="83"/>
    </row>
    <row r="122" spans="3:38" ht="22.5" customHeight="1" x14ac:dyDescent="0.2">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c r="AK122" s="83"/>
      <c r="AL122" s="83"/>
    </row>
    <row r="123" spans="3:38" ht="22.5" customHeight="1" x14ac:dyDescent="0.2">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c r="AK123" s="83"/>
      <c r="AL123" s="83"/>
    </row>
    <row r="124" spans="3:38" ht="22.5" customHeight="1" x14ac:dyDescent="0.2">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c r="AK124" s="83"/>
      <c r="AL124" s="83"/>
    </row>
    <row r="125" spans="3:38" ht="22.5" customHeight="1" x14ac:dyDescent="0.2">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c r="AK125" s="83"/>
      <c r="AL125" s="83"/>
    </row>
    <row r="126" spans="3:38" ht="22.5" customHeight="1" x14ac:dyDescent="0.2">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c r="AK126" s="83"/>
      <c r="AL126" s="83"/>
    </row>
    <row r="127" spans="3:38" ht="22.5" customHeight="1" x14ac:dyDescent="0.2">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c r="AK127" s="83"/>
      <c r="AL127" s="83"/>
    </row>
    <row r="128" spans="3:38" ht="22.5" customHeight="1" x14ac:dyDescent="0.2">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c r="AK128" s="83"/>
      <c r="AL128" s="83"/>
    </row>
    <row r="129" spans="3:38" ht="22.5" customHeight="1" x14ac:dyDescent="0.2">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c r="AK129" s="83"/>
      <c r="AL129" s="83"/>
    </row>
    <row r="130" spans="3:38" ht="22.5" customHeight="1" x14ac:dyDescent="0.2">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c r="AK130" s="83"/>
      <c r="AL130" s="83"/>
    </row>
    <row r="131" spans="3:38" ht="22.5" customHeight="1" x14ac:dyDescent="0.2">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c r="AK131" s="83"/>
      <c r="AL131" s="83"/>
    </row>
    <row r="132" spans="3:38" ht="22.5" customHeight="1" x14ac:dyDescent="0.2">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c r="AK132" s="83"/>
      <c r="AL132" s="83"/>
    </row>
    <row r="133" spans="3:38" ht="22.5" customHeight="1" x14ac:dyDescent="0.2">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c r="AK133" s="83"/>
      <c r="AL133" s="83"/>
    </row>
    <row r="134" spans="3:38" ht="22.5" customHeight="1" x14ac:dyDescent="0.2">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c r="AK134" s="83"/>
      <c r="AL134" s="83"/>
    </row>
    <row r="135" spans="3:38" ht="22.5" customHeight="1" x14ac:dyDescent="0.2">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c r="AK135" s="83"/>
      <c r="AL135" s="83"/>
    </row>
    <row r="136" spans="3:38" ht="22.5" customHeight="1" x14ac:dyDescent="0.2">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c r="AK136" s="83"/>
      <c r="AL136" s="83"/>
    </row>
    <row r="137" spans="3:38" ht="22.5" customHeight="1" x14ac:dyDescent="0.2">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c r="AK137" s="83"/>
      <c r="AL137" s="83"/>
    </row>
    <row r="138" spans="3:38" ht="22.5" customHeight="1" x14ac:dyDescent="0.2">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c r="AK138" s="83"/>
      <c r="AL138" s="83"/>
    </row>
    <row r="139" spans="3:38" ht="22.5" customHeight="1" x14ac:dyDescent="0.2">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c r="AK139" s="83"/>
      <c r="AL139" s="83"/>
    </row>
    <row r="140" spans="3:38" ht="22.5" customHeight="1" x14ac:dyDescent="0.2">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c r="AK140" s="83"/>
      <c r="AL140" s="83"/>
    </row>
    <row r="141" spans="3:38" ht="22.5" customHeight="1" x14ac:dyDescent="0.2">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c r="AK141" s="83"/>
      <c r="AL141" s="83"/>
    </row>
    <row r="142" spans="3:38" ht="22.5" customHeight="1" x14ac:dyDescent="0.2">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c r="AK142" s="83"/>
      <c r="AL142" s="83"/>
    </row>
    <row r="143" spans="3:38" ht="22.5" customHeight="1" x14ac:dyDescent="0.2">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c r="AK143" s="83"/>
      <c r="AL143" s="83"/>
    </row>
    <row r="144" spans="3:38" ht="22.5" customHeight="1" x14ac:dyDescent="0.2">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c r="AK144" s="83"/>
      <c r="AL144" s="83"/>
    </row>
    <row r="145" spans="3:38" ht="22.5" customHeight="1" x14ac:dyDescent="0.2">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c r="AK145" s="83"/>
      <c r="AL145" s="83"/>
    </row>
    <row r="146" spans="3:38" ht="22.5" customHeight="1" x14ac:dyDescent="0.2">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c r="AK146" s="83"/>
      <c r="AL146" s="83"/>
    </row>
    <row r="147" spans="3:38" ht="22.5" customHeight="1" x14ac:dyDescent="0.2">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c r="AK147" s="83"/>
      <c r="AL147" s="83"/>
    </row>
    <row r="148" spans="3:38" ht="22.5" customHeight="1" x14ac:dyDescent="0.2">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c r="AK148" s="83"/>
      <c r="AL148" s="83"/>
    </row>
    <row r="149" spans="3:38" ht="22.5" customHeight="1" x14ac:dyDescent="0.2">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c r="AK149" s="83"/>
      <c r="AL149" s="83"/>
    </row>
    <row r="150" spans="3:38" ht="22.5" customHeight="1" x14ac:dyDescent="0.2">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c r="AK150" s="83"/>
      <c r="AL150" s="83"/>
    </row>
    <row r="151" spans="3:38" ht="22.5" customHeight="1" x14ac:dyDescent="0.2">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c r="AK151" s="83"/>
      <c r="AL151" s="83"/>
    </row>
    <row r="152" spans="3:38" ht="22.5" customHeight="1" x14ac:dyDescent="0.2">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c r="AK152" s="83"/>
      <c r="AL152" s="83"/>
    </row>
    <row r="153" spans="3:38" ht="22.5" customHeight="1" x14ac:dyDescent="0.2">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c r="AK153" s="83"/>
      <c r="AL153" s="83"/>
    </row>
    <row r="154" spans="3:38" ht="22.5" customHeight="1" x14ac:dyDescent="0.2">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c r="AK154" s="83"/>
      <c r="AL154" s="83"/>
    </row>
    <row r="155" spans="3:38" ht="22.5" customHeight="1" x14ac:dyDescent="0.2">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c r="AK155" s="83"/>
      <c r="AL155" s="83"/>
    </row>
    <row r="156" spans="3:38" ht="22.5" customHeight="1" x14ac:dyDescent="0.2">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c r="AK156" s="83"/>
      <c r="AL156" s="83"/>
    </row>
    <row r="157" spans="3:38" ht="22.5" customHeight="1" x14ac:dyDescent="0.2">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c r="AK157" s="83"/>
      <c r="AL157" s="83"/>
    </row>
    <row r="158" spans="3:38" ht="22.5" customHeight="1" x14ac:dyDescent="0.2">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c r="AK158" s="83"/>
      <c r="AL158" s="83"/>
    </row>
    <row r="159" spans="3:38" ht="22.5" customHeight="1" x14ac:dyDescent="0.2">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c r="AK159" s="83"/>
      <c r="AL159" s="83"/>
    </row>
    <row r="160" spans="3:38" ht="22.5" customHeight="1" x14ac:dyDescent="0.2">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c r="AK160" s="83"/>
      <c r="AL160" s="83"/>
    </row>
    <row r="161" spans="3:38" ht="22.5" customHeight="1" x14ac:dyDescent="0.2">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c r="AK161" s="83"/>
      <c r="AL161" s="83"/>
    </row>
    <row r="162" spans="3:38" ht="22.5" customHeight="1" x14ac:dyDescent="0.2">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c r="AK162" s="83"/>
      <c r="AL162" s="83"/>
    </row>
    <row r="163" spans="3:38" ht="22.5" customHeight="1" x14ac:dyDescent="0.2">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c r="AK163" s="83"/>
      <c r="AL163" s="83"/>
    </row>
    <row r="164" spans="3:38" ht="22.5" customHeight="1" x14ac:dyDescent="0.2">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c r="AK164" s="83"/>
      <c r="AL164" s="83"/>
    </row>
    <row r="165" spans="3:38" ht="22.5" customHeight="1" x14ac:dyDescent="0.2">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c r="AK165" s="83"/>
      <c r="AL165" s="83"/>
    </row>
    <row r="166" spans="3:38" ht="22.5" customHeight="1" x14ac:dyDescent="0.2">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c r="AK166" s="83"/>
      <c r="AL166" s="83"/>
    </row>
    <row r="167" spans="3:38" ht="22.5" customHeight="1" x14ac:dyDescent="0.2">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c r="AK167" s="83"/>
      <c r="AL167" s="83"/>
    </row>
    <row r="168" spans="3:38" ht="22.5" customHeight="1" x14ac:dyDescent="0.2">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c r="AK168" s="83"/>
      <c r="AL168" s="83"/>
    </row>
    <row r="169" spans="3:38" ht="22.5" customHeight="1" x14ac:dyDescent="0.2">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c r="AK169" s="83"/>
      <c r="AL169" s="83"/>
    </row>
    <row r="170" spans="3:38" ht="22.5" customHeight="1" x14ac:dyDescent="0.2">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c r="AK170" s="83"/>
      <c r="AL170" s="83"/>
    </row>
    <row r="171" spans="3:38" ht="22.5" customHeight="1" x14ac:dyDescent="0.2">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c r="AK171" s="83"/>
      <c r="AL171" s="83"/>
    </row>
    <row r="172" spans="3:38" ht="22.5" customHeight="1" x14ac:dyDescent="0.2">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c r="AK172" s="83"/>
      <c r="AL172" s="83"/>
    </row>
    <row r="173" spans="3:38" ht="22.5" customHeight="1" x14ac:dyDescent="0.2">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c r="AK173" s="83"/>
      <c r="AL173" s="83"/>
    </row>
    <row r="174" spans="3:38" ht="22.5" customHeight="1" x14ac:dyDescent="0.2">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c r="AK174" s="83"/>
      <c r="AL174" s="83"/>
    </row>
    <row r="175" spans="3:38" ht="22.5" customHeight="1" x14ac:dyDescent="0.2">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c r="AK175" s="83"/>
      <c r="AL175" s="83"/>
    </row>
    <row r="176" spans="3:38" ht="22.5" customHeight="1" x14ac:dyDescent="0.2">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c r="AK176" s="83"/>
      <c r="AL176" s="83"/>
    </row>
    <row r="177" spans="3:38" ht="22.5" customHeight="1" x14ac:dyDescent="0.2">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c r="AK177" s="83"/>
      <c r="AL177" s="83"/>
    </row>
    <row r="178" spans="3:38" ht="22.5" customHeight="1" x14ac:dyDescent="0.2">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c r="AK178" s="83"/>
      <c r="AL178" s="83"/>
    </row>
    <row r="179" spans="3:38" ht="22.5" customHeight="1" x14ac:dyDescent="0.2">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c r="AK179" s="83"/>
      <c r="AL179" s="83"/>
    </row>
    <row r="180" spans="3:38" ht="22.5" customHeight="1" x14ac:dyDescent="0.2">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c r="AK180" s="83"/>
      <c r="AL180" s="83"/>
    </row>
    <row r="181" spans="3:38" ht="22.5" customHeight="1" x14ac:dyDescent="0.2">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c r="AK181" s="83"/>
      <c r="AL181" s="83"/>
    </row>
    <row r="182" spans="3:38" ht="22.5" customHeight="1" x14ac:dyDescent="0.2">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c r="AK182" s="83"/>
      <c r="AL182" s="83"/>
    </row>
    <row r="183" spans="3:38" ht="22.5" customHeight="1" x14ac:dyDescent="0.2">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c r="AK183" s="83"/>
      <c r="AL183" s="83"/>
    </row>
    <row r="184" spans="3:38" ht="22.5" customHeight="1" x14ac:dyDescent="0.2">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c r="AK184" s="83"/>
      <c r="AL184" s="83"/>
    </row>
    <row r="185" spans="3:38" ht="22.5" customHeight="1" x14ac:dyDescent="0.2">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c r="AK185" s="83"/>
      <c r="AL185" s="83"/>
    </row>
    <row r="186" spans="3:38" ht="22.5" customHeight="1" x14ac:dyDescent="0.2">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c r="AK186" s="83"/>
      <c r="AL186" s="83"/>
    </row>
    <row r="187" spans="3:38" ht="22.5" customHeight="1" x14ac:dyDescent="0.2">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c r="AK187" s="83"/>
      <c r="AL187" s="83"/>
    </row>
    <row r="188" spans="3:38" ht="22.5" customHeight="1" x14ac:dyDescent="0.2">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c r="AK188" s="83"/>
      <c r="AL188" s="83"/>
    </row>
    <row r="189" spans="3:38" ht="22.5" customHeight="1" x14ac:dyDescent="0.2">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c r="AK189" s="83"/>
      <c r="AL189" s="83"/>
    </row>
    <row r="190" spans="3:38" ht="22.5" customHeight="1" x14ac:dyDescent="0.2">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c r="AK190" s="83"/>
      <c r="AL190" s="83"/>
    </row>
    <row r="191" spans="3:38" ht="22.5" customHeight="1" x14ac:dyDescent="0.2">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c r="AK191" s="83"/>
      <c r="AL191" s="83"/>
    </row>
    <row r="192" spans="3:38" ht="22.5" customHeight="1" x14ac:dyDescent="0.2">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c r="AK192" s="83"/>
      <c r="AL192" s="83"/>
    </row>
    <row r="193" spans="3:38" ht="22.5" customHeight="1" x14ac:dyDescent="0.2">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c r="AK193" s="83"/>
      <c r="AL193" s="83"/>
    </row>
    <row r="194" spans="3:38" ht="22.5" customHeight="1" x14ac:dyDescent="0.2">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c r="AK194" s="83"/>
      <c r="AL194" s="83"/>
    </row>
    <row r="195" spans="3:38" ht="22.5" customHeight="1" x14ac:dyDescent="0.2">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c r="AK195" s="83"/>
      <c r="AL195" s="83"/>
    </row>
    <row r="196" spans="3:38" ht="22.5" customHeight="1" x14ac:dyDescent="0.2">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c r="AK196" s="83"/>
      <c r="AL196" s="83"/>
    </row>
    <row r="197" spans="3:38" ht="22.5" customHeight="1" x14ac:dyDescent="0.2">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c r="AK197" s="83"/>
      <c r="AL197" s="83"/>
    </row>
    <row r="198" spans="3:38" ht="22.5" customHeight="1" x14ac:dyDescent="0.2">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c r="AK198" s="83"/>
      <c r="AL198" s="83"/>
    </row>
    <row r="199" spans="3:38" ht="22.5" customHeight="1" x14ac:dyDescent="0.2">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c r="AK199" s="83"/>
      <c r="AL199" s="83"/>
    </row>
    <row r="200" spans="3:38" ht="22.5" customHeight="1" x14ac:dyDescent="0.2">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c r="AK200" s="83"/>
      <c r="AL200" s="83"/>
    </row>
    <row r="201" spans="3:38" ht="22.5" customHeight="1" x14ac:dyDescent="0.2">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c r="AK201" s="83"/>
      <c r="AL201" s="83"/>
    </row>
    <row r="202" spans="3:38" ht="22.5" customHeight="1" x14ac:dyDescent="0.2">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c r="AK202" s="83"/>
      <c r="AL202" s="83"/>
    </row>
    <row r="203" spans="3:38" ht="22.5" customHeight="1" x14ac:dyDescent="0.2">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c r="AK203" s="83"/>
      <c r="AL203" s="83"/>
    </row>
    <row r="204" spans="3:38" ht="22.5" customHeight="1" x14ac:dyDescent="0.2">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c r="AK204" s="83"/>
      <c r="AL204" s="83"/>
    </row>
    <row r="205" spans="3:38" ht="22.5" customHeight="1" x14ac:dyDescent="0.2">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c r="AK205" s="83"/>
      <c r="AL205" s="83"/>
    </row>
    <row r="206" spans="3:38" ht="22.5" customHeight="1" x14ac:dyDescent="0.2">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c r="AK206" s="83"/>
      <c r="AL206" s="83"/>
    </row>
    <row r="207" spans="3:38" ht="22.5" customHeight="1" x14ac:dyDescent="0.2">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c r="AK207" s="83"/>
      <c r="AL207" s="83"/>
    </row>
    <row r="208" spans="3:38" ht="22.5" customHeight="1" x14ac:dyDescent="0.2">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c r="AK208" s="83"/>
      <c r="AL208" s="83"/>
    </row>
    <row r="209" spans="3:38" ht="22.5" customHeight="1" x14ac:dyDescent="0.2">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c r="AK209" s="83"/>
      <c r="AL209" s="83"/>
    </row>
    <row r="210" spans="3:38" ht="22.5" customHeight="1" x14ac:dyDescent="0.2">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c r="AK210" s="83"/>
      <c r="AL210" s="83"/>
    </row>
    <row r="211" spans="3:38" ht="22.5" customHeight="1" x14ac:dyDescent="0.2">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c r="AK211" s="83"/>
      <c r="AL211" s="83"/>
    </row>
    <row r="212" spans="3:38" ht="22.5" customHeight="1" x14ac:dyDescent="0.2">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c r="AK212" s="83"/>
      <c r="AL212" s="83"/>
    </row>
    <row r="213" spans="3:38" ht="22.5" customHeight="1" x14ac:dyDescent="0.2">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c r="AK213" s="83"/>
      <c r="AL213" s="83"/>
    </row>
    <row r="214" spans="3:38" ht="22.5" customHeight="1" x14ac:dyDescent="0.2">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c r="AK214" s="83"/>
      <c r="AL214" s="83"/>
    </row>
    <row r="215" spans="3:38" ht="22.5" customHeight="1" x14ac:dyDescent="0.2">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c r="AK215" s="83"/>
      <c r="AL215" s="83"/>
    </row>
    <row r="216" spans="3:38" ht="22.5" customHeight="1" x14ac:dyDescent="0.2">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c r="AK216" s="83"/>
      <c r="AL216" s="83"/>
    </row>
    <row r="217" spans="3:38" ht="22.5" customHeight="1" x14ac:dyDescent="0.2">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c r="AK217" s="83"/>
      <c r="AL217" s="83"/>
    </row>
    <row r="218" spans="3:38" ht="22.5" customHeight="1" x14ac:dyDescent="0.2">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c r="AK218" s="83"/>
      <c r="AL218" s="83"/>
    </row>
    <row r="219" spans="3:38" ht="22.5" customHeight="1" x14ac:dyDescent="0.2">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c r="AK219" s="83"/>
      <c r="AL219" s="83"/>
    </row>
    <row r="220" spans="3:38" ht="22.5" customHeight="1" x14ac:dyDescent="0.2">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c r="AK220" s="83"/>
      <c r="AL220" s="83"/>
    </row>
    <row r="221" spans="3:38" ht="22.5" customHeight="1" x14ac:dyDescent="0.2">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c r="AK221" s="83"/>
      <c r="AL221" s="83"/>
    </row>
    <row r="222" spans="3:38" ht="22.5" customHeight="1" x14ac:dyDescent="0.2">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c r="AK222" s="83"/>
      <c r="AL222" s="83"/>
    </row>
    <row r="223" spans="3:38" ht="22.5" customHeight="1" x14ac:dyDescent="0.2">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c r="AK223" s="83"/>
      <c r="AL223" s="83"/>
    </row>
    <row r="224" spans="3:38" ht="22.5" customHeight="1" x14ac:dyDescent="0.2">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c r="AK224" s="83"/>
      <c r="AL224" s="83"/>
    </row>
    <row r="225" spans="3:38" ht="22.5" customHeight="1" x14ac:dyDescent="0.2">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c r="AK225" s="83"/>
      <c r="AL225" s="83"/>
    </row>
    <row r="226" spans="3:38" ht="22.5" customHeight="1" x14ac:dyDescent="0.2">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c r="AK226" s="83"/>
      <c r="AL226" s="83"/>
    </row>
    <row r="227" spans="3:38" ht="22.5" customHeight="1" x14ac:dyDescent="0.2">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c r="AK227" s="83"/>
      <c r="AL227" s="83"/>
    </row>
    <row r="228" spans="3:38" ht="22.5" customHeight="1" x14ac:dyDescent="0.2">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c r="AK228" s="83"/>
      <c r="AL228" s="83"/>
    </row>
    <row r="229" spans="3:38" ht="22.5" customHeight="1" x14ac:dyDescent="0.2">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c r="AK229" s="83"/>
      <c r="AL229" s="83"/>
    </row>
    <row r="230" spans="3:38" ht="22.5" customHeight="1" x14ac:dyDescent="0.2">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c r="AK230" s="83"/>
      <c r="AL230" s="83"/>
    </row>
    <row r="231" spans="3:38" ht="22.5" customHeight="1" x14ac:dyDescent="0.2">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c r="AK231" s="83"/>
      <c r="AL231" s="83"/>
    </row>
    <row r="232" spans="3:38" ht="22.5" customHeight="1" x14ac:dyDescent="0.2">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c r="AK232" s="83"/>
      <c r="AL232" s="83"/>
    </row>
    <row r="233" spans="3:38" ht="22.5" customHeight="1" x14ac:dyDescent="0.2">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c r="AK233" s="83"/>
      <c r="AL233" s="83"/>
    </row>
    <row r="234" spans="3:38" ht="22.5" customHeight="1" x14ac:dyDescent="0.2">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c r="AK234" s="83"/>
      <c r="AL234" s="83"/>
    </row>
    <row r="235" spans="3:38" ht="22.5" customHeight="1" x14ac:dyDescent="0.2">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c r="AK235" s="83"/>
      <c r="AL235" s="83"/>
    </row>
    <row r="236" spans="3:38" ht="22.5" customHeight="1" x14ac:dyDescent="0.2">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c r="AK236" s="83"/>
      <c r="AL236" s="83"/>
    </row>
    <row r="237" spans="3:38" ht="22.5" customHeight="1" x14ac:dyDescent="0.2">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c r="AK237" s="83"/>
      <c r="AL237" s="83"/>
    </row>
    <row r="238" spans="3:38" ht="22.5" customHeight="1" x14ac:dyDescent="0.2">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c r="AK238" s="83"/>
      <c r="AL238" s="83"/>
    </row>
    <row r="239" spans="3:38" ht="22.5" customHeight="1" x14ac:dyDescent="0.2">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c r="AK239" s="83"/>
      <c r="AL239" s="83"/>
    </row>
    <row r="240" spans="3:38" ht="22.5" customHeight="1" x14ac:dyDescent="0.2">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c r="AK240" s="83"/>
      <c r="AL240" s="83"/>
    </row>
    <row r="241" spans="3:38" ht="22.5" customHeight="1" x14ac:dyDescent="0.2">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c r="AK241" s="83"/>
      <c r="AL241" s="83"/>
    </row>
    <row r="242" spans="3:38" ht="22.5" customHeight="1" x14ac:dyDescent="0.2">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c r="AK242" s="83"/>
      <c r="AL242" s="83"/>
    </row>
    <row r="243" spans="3:38" ht="22.5" customHeight="1" x14ac:dyDescent="0.2">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c r="AK243" s="83"/>
      <c r="AL243" s="83"/>
    </row>
    <row r="244" spans="3:38" ht="22.5" customHeight="1" x14ac:dyDescent="0.2">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c r="AK244" s="83"/>
      <c r="AL244" s="83"/>
    </row>
    <row r="245" spans="3:38" ht="22.5" customHeight="1" x14ac:dyDescent="0.2">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c r="AK245" s="83"/>
      <c r="AL245" s="83"/>
    </row>
    <row r="246" spans="3:38" ht="22.5" customHeight="1" x14ac:dyDescent="0.2">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c r="AK246" s="83"/>
      <c r="AL246" s="83"/>
    </row>
    <row r="247" spans="3:38" ht="22.5" customHeight="1" x14ac:dyDescent="0.2">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c r="AK247" s="83"/>
      <c r="AL247" s="83"/>
    </row>
    <row r="248" spans="3:38" ht="22.5" customHeight="1" x14ac:dyDescent="0.2">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c r="AK248" s="83"/>
      <c r="AL248" s="83"/>
    </row>
    <row r="249" spans="3:38" ht="22.5" customHeight="1" x14ac:dyDescent="0.2">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c r="AK249" s="83"/>
      <c r="AL249" s="83"/>
    </row>
    <row r="250" spans="3:38" ht="22.5" customHeight="1" x14ac:dyDescent="0.2">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c r="AK250" s="83"/>
      <c r="AL250" s="83"/>
    </row>
    <row r="251" spans="3:38" ht="22.5" customHeight="1" x14ac:dyDescent="0.2">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c r="AK251" s="83"/>
      <c r="AL251" s="83"/>
    </row>
    <row r="252" spans="3:38" ht="22.5" customHeight="1" x14ac:dyDescent="0.2">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c r="AK252" s="83"/>
      <c r="AL252" s="83"/>
    </row>
    <row r="253" spans="3:38" ht="22.5" customHeight="1" x14ac:dyDescent="0.2">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c r="AK253" s="83"/>
      <c r="AL253" s="83"/>
    </row>
    <row r="254" spans="3:38" ht="22.5" customHeight="1" x14ac:dyDescent="0.2">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c r="AK254" s="83"/>
      <c r="AL254" s="83"/>
    </row>
    <row r="255" spans="3:38" ht="22.5" customHeight="1" x14ac:dyDescent="0.2">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c r="AK255" s="83"/>
      <c r="AL255" s="83"/>
    </row>
    <row r="256" spans="3:38" ht="22.5" customHeight="1" x14ac:dyDescent="0.2">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c r="AK256" s="83"/>
      <c r="AL256" s="83"/>
    </row>
    <row r="257" spans="3:38" ht="22.5" customHeight="1" x14ac:dyDescent="0.2">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c r="AK257" s="83"/>
      <c r="AL257" s="83"/>
    </row>
    <row r="258" spans="3:38" ht="22.5" customHeight="1" x14ac:dyDescent="0.2">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c r="AK258" s="83"/>
      <c r="AL258" s="83"/>
    </row>
    <row r="259" spans="3:38" ht="22.5" customHeight="1" x14ac:dyDescent="0.2">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c r="AK259" s="83"/>
      <c r="AL259" s="83"/>
    </row>
    <row r="260" spans="3:38" ht="22.5" customHeight="1" x14ac:dyDescent="0.2">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c r="AK260" s="83"/>
      <c r="AL260" s="83"/>
    </row>
    <row r="261" spans="3:38" ht="22.5" customHeight="1" x14ac:dyDescent="0.2">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c r="AK261" s="83"/>
      <c r="AL261" s="83"/>
    </row>
    <row r="262" spans="3:38" ht="22.5" customHeight="1" x14ac:dyDescent="0.2">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c r="AK262" s="83"/>
      <c r="AL262" s="83"/>
    </row>
    <row r="263" spans="3:38" ht="22.5" customHeight="1" x14ac:dyDescent="0.2">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c r="AK263" s="83"/>
      <c r="AL263" s="83"/>
    </row>
    <row r="264" spans="3:38" ht="22.5" customHeight="1" x14ac:dyDescent="0.2">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c r="AK264" s="83"/>
      <c r="AL264" s="83"/>
    </row>
    <row r="265" spans="3:38" ht="22.5" customHeight="1" x14ac:dyDescent="0.2">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c r="AK265" s="83"/>
      <c r="AL265" s="83"/>
    </row>
    <row r="266" spans="3:38" ht="22.5" customHeight="1" x14ac:dyDescent="0.2">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c r="AK266" s="83"/>
      <c r="AL266" s="83"/>
    </row>
    <row r="267" spans="3:38" ht="22.5" customHeight="1" x14ac:dyDescent="0.2">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c r="AK267" s="83"/>
      <c r="AL267" s="83"/>
    </row>
    <row r="268" spans="3:38" ht="22.5" customHeight="1" x14ac:dyDescent="0.2">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c r="AK268" s="83"/>
      <c r="AL268" s="83"/>
    </row>
    <row r="269" spans="3:38" ht="22.5" customHeight="1" x14ac:dyDescent="0.2">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c r="AK269" s="83"/>
      <c r="AL269" s="83"/>
    </row>
    <row r="270" spans="3:38" ht="22.5" customHeight="1" x14ac:dyDescent="0.2">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c r="AK270" s="83"/>
      <c r="AL270" s="83"/>
    </row>
    <row r="271" spans="3:38" ht="22.5" customHeight="1" x14ac:dyDescent="0.2">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c r="AK271" s="83"/>
      <c r="AL271" s="83"/>
    </row>
    <row r="272" spans="3:38" ht="22.5" customHeight="1" x14ac:dyDescent="0.2">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c r="AK272" s="83"/>
      <c r="AL272" s="83"/>
    </row>
    <row r="273" spans="3:38" ht="22.5" customHeight="1" x14ac:dyDescent="0.2">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c r="AK273" s="83"/>
      <c r="AL273" s="83"/>
    </row>
    <row r="274" spans="3:38" ht="22.5" customHeight="1" x14ac:dyDescent="0.2">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c r="AK274" s="83"/>
      <c r="AL274" s="83"/>
    </row>
    <row r="275" spans="3:38" ht="22.5" customHeight="1" x14ac:dyDescent="0.2">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c r="AK275" s="83"/>
      <c r="AL275" s="83"/>
    </row>
    <row r="276" spans="3:38" ht="22.5" customHeight="1" x14ac:dyDescent="0.2">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c r="AK276" s="83"/>
      <c r="AL276" s="83"/>
    </row>
    <row r="277" spans="3:38" ht="22.5" customHeight="1" x14ac:dyDescent="0.2">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c r="AK277" s="83"/>
      <c r="AL277" s="83"/>
    </row>
    <row r="278" spans="3:38" ht="22.5" customHeight="1" x14ac:dyDescent="0.2">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c r="AK278" s="83"/>
      <c r="AL278" s="83"/>
    </row>
    <row r="279" spans="3:38" ht="22.5" customHeight="1" x14ac:dyDescent="0.2">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c r="AK279" s="83"/>
      <c r="AL279" s="83"/>
    </row>
    <row r="280" spans="3:38" ht="22.5" customHeight="1" x14ac:dyDescent="0.2">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c r="AK280" s="83"/>
      <c r="AL280" s="83"/>
    </row>
    <row r="281" spans="3:38" ht="22.5" customHeight="1" x14ac:dyDescent="0.2">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c r="AK281" s="83"/>
      <c r="AL281" s="83"/>
    </row>
    <row r="282" spans="3:38" ht="22.5" customHeight="1" x14ac:dyDescent="0.2">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c r="AK282" s="83"/>
      <c r="AL282" s="83"/>
    </row>
    <row r="283" spans="3:38" ht="22.5" customHeight="1" x14ac:dyDescent="0.2">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c r="AK283" s="83"/>
      <c r="AL283" s="83"/>
    </row>
    <row r="284" spans="3:38" ht="22.5" customHeight="1" x14ac:dyDescent="0.2">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c r="AK284" s="83"/>
      <c r="AL284" s="83"/>
    </row>
    <row r="285" spans="3:38" ht="22.5" customHeight="1" x14ac:dyDescent="0.2">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c r="AK285" s="83"/>
      <c r="AL285" s="83"/>
    </row>
    <row r="286" spans="3:38" ht="22.5" customHeight="1" x14ac:dyDescent="0.2">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c r="AK286" s="83"/>
      <c r="AL286" s="83"/>
    </row>
    <row r="287" spans="3:38" ht="22.5" customHeight="1" x14ac:dyDescent="0.2">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c r="AK287" s="83"/>
      <c r="AL287" s="83"/>
    </row>
    <row r="288" spans="3:38" ht="22.5" customHeight="1" x14ac:dyDescent="0.2">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c r="AK288" s="83"/>
      <c r="AL288" s="83"/>
    </row>
    <row r="289" spans="3:38" ht="22.5" customHeight="1" x14ac:dyDescent="0.2">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c r="AK289" s="83"/>
      <c r="AL289" s="83"/>
    </row>
    <row r="290" spans="3:38" ht="22.5" customHeight="1" x14ac:dyDescent="0.2">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c r="AK290" s="83"/>
      <c r="AL290" s="83"/>
    </row>
    <row r="291" spans="3:38" ht="22.5" customHeight="1" x14ac:dyDescent="0.2">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c r="AK291" s="83"/>
      <c r="AL291" s="83"/>
    </row>
    <row r="292" spans="3:38" ht="22.5" customHeight="1" x14ac:dyDescent="0.2">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c r="AK292" s="83"/>
      <c r="AL292" s="83"/>
    </row>
    <row r="293" spans="3:38" ht="22.5" customHeight="1" x14ac:dyDescent="0.2">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c r="AK293" s="83"/>
      <c r="AL293" s="83"/>
    </row>
    <row r="294" spans="3:38" ht="22.5" customHeight="1" x14ac:dyDescent="0.2">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c r="AK294" s="83"/>
      <c r="AL294" s="83"/>
    </row>
    <row r="295" spans="3:38" ht="22.5" customHeight="1" x14ac:dyDescent="0.2">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c r="AK295" s="83"/>
      <c r="AL295" s="83"/>
    </row>
    <row r="296" spans="3:38" ht="22.5" customHeight="1" x14ac:dyDescent="0.2">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c r="AK296" s="83"/>
      <c r="AL296" s="83"/>
    </row>
    <row r="297" spans="3:38" ht="22.5" customHeight="1" x14ac:dyDescent="0.2">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c r="AK297" s="83"/>
      <c r="AL297" s="83"/>
    </row>
    <row r="298" spans="3:38" ht="22.5" customHeight="1" x14ac:dyDescent="0.2">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c r="AK298" s="83"/>
      <c r="AL298" s="83"/>
    </row>
    <row r="299" spans="3:38" ht="22.5" customHeight="1" x14ac:dyDescent="0.2">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c r="AK299" s="83"/>
      <c r="AL299" s="83"/>
    </row>
    <row r="300" spans="3:38" ht="22.5" customHeight="1" x14ac:dyDescent="0.2">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c r="AK300" s="83"/>
      <c r="AL300" s="83"/>
    </row>
    <row r="301" spans="3:38" ht="22.5" customHeight="1" x14ac:dyDescent="0.2">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c r="AK301" s="83"/>
      <c r="AL301" s="83"/>
    </row>
    <row r="302" spans="3:38" ht="22.5" customHeight="1" x14ac:dyDescent="0.2">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c r="AK302" s="83"/>
      <c r="AL302" s="83"/>
    </row>
    <row r="303" spans="3:38" ht="22.5" customHeight="1" x14ac:dyDescent="0.2">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c r="AK303" s="83"/>
      <c r="AL303" s="83"/>
    </row>
    <row r="304" spans="3:38" ht="22.5" customHeight="1" x14ac:dyDescent="0.2">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c r="AK304" s="83"/>
      <c r="AL304" s="83"/>
    </row>
    <row r="305" spans="3:38" ht="22.5" customHeight="1" x14ac:dyDescent="0.2">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c r="AK305" s="83"/>
      <c r="AL305" s="83"/>
    </row>
    <row r="306" spans="3:38" ht="22.5" customHeight="1" x14ac:dyDescent="0.2">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c r="AK306" s="83"/>
      <c r="AL306" s="83"/>
    </row>
    <row r="307" spans="3:38" ht="22.5" customHeight="1" x14ac:dyDescent="0.2">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c r="AK307" s="83"/>
      <c r="AL307" s="83"/>
    </row>
    <row r="308" spans="3:38" ht="22.5" customHeight="1" x14ac:dyDescent="0.2">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c r="AK308" s="83"/>
      <c r="AL308" s="83"/>
    </row>
    <row r="309" spans="3:38" ht="22.5" customHeight="1" x14ac:dyDescent="0.2">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c r="AK309" s="83"/>
      <c r="AL309" s="83"/>
    </row>
    <row r="310" spans="3:38" ht="22.5" customHeight="1" x14ac:dyDescent="0.2">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c r="AK310" s="83"/>
      <c r="AL310" s="83"/>
    </row>
    <row r="311" spans="3:38" ht="22.5" customHeight="1" x14ac:dyDescent="0.2">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c r="AK311" s="83"/>
      <c r="AL311" s="83"/>
    </row>
    <row r="312" spans="3:38" ht="22.5" customHeight="1" x14ac:dyDescent="0.2">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c r="AK312" s="83"/>
      <c r="AL312" s="83"/>
    </row>
    <row r="313" spans="3:38" ht="22.5" customHeight="1" x14ac:dyDescent="0.2">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c r="AK313" s="83"/>
      <c r="AL313" s="83"/>
    </row>
    <row r="314" spans="3:38" ht="22.5" customHeight="1" x14ac:dyDescent="0.2">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c r="AK314" s="83"/>
      <c r="AL314" s="83"/>
    </row>
    <row r="315" spans="3:38" ht="22.5" customHeight="1" x14ac:dyDescent="0.2">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c r="AK315" s="83"/>
      <c r="AL315" s="83"/>
    </row>
    <row r="316" spans="3:38" ht="22.5" customHeight="1" x14ac:dyDescent="0.2">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c r="AK316" s="83"/>
      <c r="AL316" s="83"/>
    </row>
    <row r="317" spans="3:38" ht="22.5" customHeight="1" x14ac:dyDescent="0.2">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c r="AK317" s="83"/>
      <c r="AL317" s="83"/>
    </row>
    <row r="318" spans="3:38" ht="22.5" customHeight="1" x14ac:dyDescent="0.2">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c r="AK318" s="83"/>
      <c r="AL318" s="83"/>
    </row>
    <row r="319" spans="3:38" ht="22.5" customHeight="1" x14ac:dyDescent="0.2">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c r="AK319" s="83"/>
      <c r="AL319" s="83"/>
    </row>
    <row r="320" spans="3:38" ht="22.5" customHeight="1" x14ac:dyDescent="0.2">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c r="AK320" s="83"/>
      <c r="AL320" s="83"/>
    </row>
    <row r="321" spans="3:38" ht="22.5" customHeight="1" x14ac:dyDescent="0.2">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c r="AK321" s="83"/>
      <c r="AL321" s="83"/>
    </row>
    <row r="322" spans="3:38" ht="22.5" customHeight="1" x14ac:dyDescent="0.2">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c r="AK322" s="83"/>
      <c r="AL322" s="83"/>
    </row>
    <row r="323" spans="3:38" ht="22.5" customHeight="1" x14ac:dyDescent="0.2">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c r="AK323" s="83"/>
      <c r="AL323" s="83"/>
    </row>
    <row r="324" spans="3:38" ht="22.5" customHeight="1" x14ac:dyDescent="0.2">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c r="AK324" s="83"/>
      <c r="AL324" s="83"/>
    </row>
    <row r="325" spans="3:38" ht="22.5" customHeight="1" x14ac:dyDescent="0.2">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c r="AK325" s="83"/>
      <c r="AL325" s="83"/>
    </row>
    <row r="326" spans="3:38" ht="22.5" customHeight="1" x14ac:dyDescent="0.2">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c r="AK326" s="83"/>
      <c r="AL326" s="83"/>
    </row>
    <row r="327" spans="3:38" ht="22.5" customHeight="1" x14ac:dyDescent="0.2">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c r="AK327" s="83"/>
      <c r="AL327" s="83"/>
    </row>
    <row r="328" spans="3:38" ht="22.5" customHeight="1" x14ac:dyDescent="0.2">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c r="AK328" s="83"/>
      <c r="AL328" s="83"/>
    </row>
    <row r="329" spans="3:38" ht="22.5" customHeight="1" x14ac:dyDescent="0.2">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c r="AK329" s="83"/>
      <c r="AL329" s="83"/>
    </row>
    <row r="330" spans="3:38" ht="22.5" customHeight="1" x14ac:dyDescent="0.2">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c r="AK330" s="83"/>
      <c r="AL330" s="83"/>
    </row>
    <row r="331" spans="3:38" ht="22.5" customHeight="1" x14ac:dyDescent="0.2">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c r="AK331" s="83"/>
      <c r="AL331" s="83"/>
    </row>
    <row r="332" spans="3:38" ht="22.5" customHeight="1" x14ac:dyDescent="0.2">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c r="AK332" s="83"/>
      <c r="AL332" s="83"/>
    </row>
    <row r="333" spans="3:38" ht="22.5" customHeight="1" x14ac:dyDescent="0.2">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c r="AK333" s="83"/>
      <c r="AL333" s="83"/>
    </row>
    <row r="334" spans="3:38" ht="22.5" customHeight="1" x14ac:dyDescent="0.2">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c r="AK334" s="83"/>
      <c r="AL334" s="83"/>
    </row>
    <row r="335" spans="3:38" ht="22.5" customHeight="1" x14ac:dyDescent="0.2">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c r="AK335" s="83"/>
      <c r="AL335" s="83"/>
    </row>
    <row r="336" spans="3:38" ht="22.5" customHeight="1" x14ac:dyDescent="0.2">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c r="AK336" s="83"/>
      <c r="AL336" s="83"/>
    </row>
    <row r="337" spans="3:38" ht="22.5" customHeight="1" x14ac:dyDescent="0.2">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c r="AK337" s="83"/>
      <c r="AL337" s="83"/>
    </row>
    <row r="338" spans="3:38" ht="22.5" customHeight="1" x14ac:dyDescent="0.2">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c r="AK338" s="83"/>
      <c r="AL338" s="83"/>
    </row>
    <row r="339" spans="3:38" ht="22.5" customHeight="1" x14ac:dyDescent="0.2">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c r="AK339" s="83"/>
      <c r="AL339" s="83"/>
    </row>
    <row r="340" spans="3:38" ht="22.5" customHeight="1" x14ac:dyDescent="0.2">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c r="AK340" s="83"/>
      <c r="AL340" s="83"/>
    </row>
    <row r="341" spans="3:38" ht="22.5" customHeight="1" x14ac:dyDescent="0.2">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c r="AK341" s="83"/>
      <c r="AL341" s="83"/>
    </row>
    <row r="342" spans="3:38" ht="22.5" customHeight="1" x14ac:dyDescent="0.2">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c r="AK342" s="83"/>
      <c r="AL342" s="83"/>
    </row>
    <row r="343" spans="3:38" ht="22.5" customHeight="1" x14ac:dyDescent="0.2">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c r="AK343" s="83"/>
      <c r="AL343" s="83"/>
    </row>
    <row r="344" spans="3:38" ht="22.5" customHeight="1" x14ac:dyDescent="0.2">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c r="AK344" s="83"/>
      <c r="AL344" s="83"/>
    </row>
    <row r="345" spans="3:38" ht="22.5" customHeight="1" x14ac:dyDescent="0.2">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c r="AK345" s="83"/>
      <c r="AL345" s="83"/>
    </row>
    <row r="346" spans="3:38" ht="22.5" customHeight="1" x14ac:dyDescent="0.2">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c r="AK346" s="83"/>
      <c r="AL346" s="83"/>
    </row>
    <row r="347" spans="3:38" ht="22.5" customHeight="1" x14ac:dyDescent="0.2">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c r="AK347" s="83"/>
      <c r="AL347" s="83"/>
    </row>
    <row r="348" spans="3:38" ht="22.5" customHeight="1" x14ac:dyDescent="0.2">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c r="AK348" s="83"/>
      <c r="AL348" s="83"/>
    </row>
    <row r="349" spans="3:38" ht="22.5" customHeight="1" x14ac:dyDescent="0.2">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c r="AK349" s="83"/>
      <c r="AL349" s="83"/>
    </row>
    <row r="350" spans="3:38" ht="22.5" customHeight="1" x14ac:dyDescent="0.2">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c r="AK350" s="83"/>
      <c r="AL350" s="83"/>
    </row>
    <row r="351" spans="3:38" ht="22.5" customHeight="1" x14ac:dyDescent="0.2">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c r="AK351" s="83"/>
      <c r="AL351" s="83"/>
    </row>
    <row r="352" spans="3:38" ht="22.5" customHeight="1" x14ac:dyDescent="0.2">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c r="AK352" s="83"/>
      <c r="AL352" s="83"/>
    </row>
    <row r="353" spans="3:38" ht="22.5" customHeight="1" x14ac:dyDescent="0.2">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c r="AK353" s="83"/>
      <c r="AL353" s="83"/>
    </row>
    <row r="354" spans="3:38" ht="22.5" customHeight="1" x14ac:dyDescent="0.2">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c r="AK354" s="83"/>
      <c r="AL354" s="83"/>
    </row>
    <row r="355" spans="3:38" ht="22.5" customHeight="1" x14ac:dyDescent="0.2">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c r="AK355" s="83"/>
      <c r="AL355" s="83"/>
    </row>
    <row r="356" spans="3:38" ht="22.5" customHeight="1" x14ac:dyDescent="0.2">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c r="AK356" s="83"/>
      <c r="AL356" s="83"/>
    </row>
    <row r="357" spans="3:38" ht="22.5" customHeight="1" x14ac:dyDescent="0.2">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c r="AK357" s="83"/>
      <c r="AL357" s="83"/>
    </row>
    <row r="358" spans="3:38" ht="22.5" customHeight="1" x14ac:dyDescent="0.2">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c r="AK358" s="83"/>
      <c r="AL358" s="83"/>
    </row>
    <row r="359" spans="3:38" ht="22.5" customHeight="1" x14ac:dyDescent="0.2">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c r="AK359" s="83"/>
      <c r="AL359" s="83"/>
    </row>
    <row r="360" spans="3:38" ht="22.5" customHeight="1" x14ac:dyDescent="0.2">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c r="AK360" s="83"/>
      <c r="AL360" s="83"/>
    </row>
    <row r="361" spans="3:38" ht="22.5" customHeight="1" x14ac:dyDescent="0.2">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c r="AK361" s="83"/>
      <c r="AL361" s="83"/>
    </row>
    <row r="362" spans="3:38" ht="22.5" customHeight="1" x14ac:dyDescent="0.2">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c r="AK362" s="83"/>
      <c r="AL362" s="83"/>
    </row>
    <row r="363" spans="3:38" ht="22.5" customHeight="1" x14ac:dyDescent="0.2">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c r="AK363" s="83"/>
      <c r="AL363" s="83"/>
    </row>
    <row r="364" spans="3:38" ht="22.5" customHeight="1" x14ac:dyDescent="0.2">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c r="AK364" s="83"/>
      <c r="AL364" s="83"/>
    </row>
    <row r="365" spans="3:38" ht="22.5" customHeight="1" x14ac:dyDescent="0.2">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c r="AK365" s="83"/>
      <c r="AL365" s="83"/>
    </row>
    <row r="366" spans="3:38" ht="22.5" customHeight="1" x14ac:dyDescent="0.2">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c r="AK366" s="83"/>
      <c r="AL366" s="83"/>
    </row>
    <row r="367" spans="3:38" ht="22.5" customHeight="1" x14ac:dyDescent="0.2">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c r="AK367" s="83"/>
      <c r="AL367" s="83"/>
    </row>
    <row r="368" spans="3:38" ht="22.5" customHeight="1" x14ac:dyDescent="0.2">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c r="AK368" s="83"/>
      <c r="AL368" s="83"/>
    </row>
    <row r="369" spans="3:38" ht="22.5" customHeight="1" x14ac:dyDescent="0.2">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c r="AK369" s="83"/>
      <c r="AL369" s="83"/>
    </row>
    <row r="370" spans="3:38" ht="22.5" customHeight="1" x14ac:dyDescent="0.2">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c r="AK370" s="83"/>
      <c r="AL370" s="83"/>
    </row>
    <row r="371" spans="3:38" ht="22.5" customHeight="1" x14ac:dyDescent="0.2">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c r="AK371" s="83"/>
      <c r="AL371" s="83"/>
    </row>
    <row r="372" spans="3:38" ht="22.5" customHeight="1" x14ac:dyDescent="0.2">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c r="AK372" s="83"/>
      <c r="AL372" s="83"/>
    </row>
    <row r="373" spans="3:38" ht="22.5" customHeight="1" x14ac:dyDescent="0.2">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c r="AK373" s="83"/>
      <c r="AL373" s="83"/>
    </row>
    <row r="374" spans="3:38" ht="22.5" customHeight="1" x14ac:dyDescent="0.2">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c r="AK374" s="83"/>
      <c r="AL374" s="83"/>
    </row>
    <row r="375" spans="3:38" ht="22.5" customHeight="1" x14ac:dyDescent="0.2">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c r="AK375" s="83"/>
      <c r="AL375" s="83"/>
    </row>
    <row r="376" spans="3:38" ht="22.5" customHeight="1" x14ac:dyDescent="0.2">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c r="AK376" s="83"/>
      <c r="AL376" s="83"/>
    </row>
    <row r="377" spans="3:38" ht="22.5" customHeight="1" x14ac:dyDescent="0.2">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c r="AK377" s="83"/>
      <c r="AL377" s="83"/>
    </row>
    <row r="378" spans="3:38" ht="22.5" customHeight="1" x14ac:dyDescent="0.2">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c r="AK378" s="83"/>
      <c r="AL378" s="83"/>
    </row>
    <row r="379" spans="3:38" ht="22.5" customHeight="1" x14ac:dyDescent="0.2">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c r="AK379" s="83"/>
      <c r="AL379" s="83"/>
    </row>
    <row r="380" spans="3:38" ht="22.5" customHeight="1" x14ac:dyDescent="0.2">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c r="AK380" s="83"/>
      <c r="AL380" s="83"/>
    </row>
    <row r="381" spans="3:38" ht="22.5" customHeight="1" x14ac:dyDescent="0.2">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c r="AK381" s="83"/>
      <c r="AL381" s="83"/>
    </row>
    <row r="382" spans="3:38" ht="22.5" customHeight="1" x14ac:dyDescent="0.2">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c r="AK382" s="83"/>
      <c r="AL382" s="83"/>
    </row>
    <row r="383" spans="3:38" ht="22.5" customHeight="1" x14ac:dyDescent="0.2">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c r="AK383" s="83"/>
      <c r="AL383" s="83"/>
    </row>
    <row r="384" spans="3:38" ht="22.5" customHeight="1" x14ac:dyDescent="0.2">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c r="AK384" s="83"/>
      <c r="AL384" s="83"/>
    </row>
    <row r="385" spans="3:38" ht="22.5" customHeight="1" x14ac:dyDescent="0.2">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c r="AK385" s="83"/>
      <c r="AL385" s="83"/>
    </row>
    <row r="386" spans="3:38" ht="22.5" customHeight="1" x14ac:dyDescent="0.2">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c r="AK386" s="83"/>
      <c r="AL386" s="83"/>
    </row>
    <row r="387" spans="3:38" ht="22.5" customHeight="1" x14ac:dyDescent="0.2">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c r="AK387" s="83"/>
      <c r="AL387" s="83"/>
    </row>
    <row r="388" spans="3:38" ht="22.5" customHeight="1" x14ac:dyDescent="0.2">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c r="AK388" s="83"/>
      <c r="AL388" s="83"/>
    </row>
    <row r="389" spans="3:38" ht="22.5" customHeight="1" x14ac:dyDescent="0.2">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c r="AK389" s="83"/>
      <c r="AL389" s="83"/>
    </row>
    <row r="390" spans="3:38" ht="22.5" customHeight="1" x14ac:dyDescent="0.2">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c r="AK390" s="83"/>
      <c r="AL390" s="83"/>
    </row>
    <row r="391" spans="3:38" ht="22.5" customHeight="1" x14ac:dyDescent="0.2">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c r="AK391" s="83"/>
      <c r="AL391" s="83"/>
    </row>
    <row r="392" spans="3:38" ht="22.5" customHeight="1" x14ac:dyDescent="0.2">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c r="AK392" s="83"/>
      <c r="AL392" s="83"/>
    </row>
    <row r="393" spans="3:38" ht="22.5" customHeight="1" x14ac:dyDescent="0.2">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c r="AK393" s="83"/>
      <c r="AL393" s="83"/>
    </row>
    <row r="394" spans="3:38" ht="22.5" customHeight="1" x14ac:dyDescent="0.2">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c r="AK394" s="83"/>
      <c r="AL394" s="83"/>
    </row>
    <row r="395" spans="3:38" ht="22.5" customHeight="1" x14ac:dyDescent="0.2">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c r="AK395" s="83"/>
      <c r="AL395" s="83"/>
    </row>
    <row r="396" spans="3:38" ht="22.5" customHeight="1" x14ac:dyDescent="0.2">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c r="AK396" s="83"/>
      <c r="AL396" s="83"/>
    </row>
    <row r="397" spans="3:38" ht="22.5" customHeight="1" x14ac:dyDescent="0.2">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c r="AK397" s="83"/>
      <c r="AL397" s="83"/>
    </row>
    <row r="398" spans="3:38" ht="22.5" customHeight="1" x14ac:dyDescent="0.2">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c r="AK398" s="83"/>
      <c r="AL398" s="83"/>
    </row>
    <row r="399" spans="3:38" ht="22.5" customHeight="1" x14ac:dyDescent="0.2">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c r="AK399" s="83"/>
      <c r="AL399" s="83"/>
    </row>
    <row r="400" spans="3:38" ht="22.5" customHeight="1" x14ac:dyDescent="0.2">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c r="AK400" s="83"/>
      <c r="AL400" s="83"/>
    </row>
    <row r="401" spans="3:38" ht="22.5" customHeight="1" x14ac:dyDescent="0.2">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c r="AK401" s="83"/>
      <c r="AL401" s="83"/>
    </row>
    <row r="402" spans="3:38" ht="22.5" customHeight="1" x14ac:dyDescent="0.2">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c r="AK402" s="83"/>
      <c r="AL402" s="83"/>
    </row>
    <row r="403" spans="3:38" ht="22.5" customHeight="1" x14ac:dyDescent="0.2">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c r="AK403" s="83"/>
      <c r="AL403" s="83"/>
    </row>
    <row r="404" spans="3:38" ht="22.5" customHeight="1" x14ac:dyDescent="0.2">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c r="AK404" s="83"/>
      <c r="AL404" s="83"/>
    </row>
    <row r="405" spans="3:38" ht="22.5" customHeight="1" x14ac:dyDescent="0.2">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c r="AK405" s="83"/>
      <c r="AL405" s="83"/>
    </row>
    <row r="406" spans="3:38" ht="22.5" customHeight="1" x14ac:dyDescent="0.2">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c r="AK406" s="83"/>
      <c r="AL406" s="83"/>
    </row>
    <row r="407" spans="3:38" ht="22.5" customHeight="1" x14ac:dyDescent="0.2">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c r="AK407" s="83"/>
      <c r="AL407" s="83"/>
    </row>
    <row r="408" spans="3:38" ht="22.5" customHeight="1" x14ac:dyDescent="0.2">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c r="AK408" s="83"/>
      <c r="AL408" s="83"/>
    </row>
    <row r="409" spans="3:38" ht="22.5" customHeight="1" x14ac:dyDescent="0.2">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c r="AK409" s="83"/>
      <c r="AL409" s="83"/>
    </row>
    <row r="410" spans="3:38" ht="22.5" customHeight="1" x14ac:dyDescent="0.2">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c r="AK410" s="83"/>
      <c r="AL410" s="83"/>
    </row>
    <row r="411" spans="3:38" ht="22.5" customHeight="1" x14ac:dyDescent="0.2">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c r="AK411" s="83"/>
      <c r="AL411" s="83"/>
    </row>
    <row r="412" spans="3:38" ht="22.5" customHeight="1" x14ac:dyDescent="0.2">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c r="AK412" s="83"/>
      <c r="AL412" s="83"/>
    </row>
    <row r="413" spans="3:38" ht="22.5" customHeight="1" x14ac:dyDescent="0.2">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c r="AK413" s="83"/>
      <c r="AL413" s="83"/>
    </row>
    <row r="414" spans="3:38" ht="22.5" customHeight="1" x14ac:dyDescent="0.2">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c r="AK414" s="83"/>
      <c r="AL414" s="83"/>
    </row>
    <row r="415" spans="3:38" ht="22.5" customHeight="1" x14ac:dyDescent="0.2">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c r="AK415" s="83"/>
      <c r="AL415" s="83"/>
    </row>
    <row r="416" spans="3:38" ht="22.5" customHeight="1" x14ac:dyDescent="0.2">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c r="AK416" s="83"/>
      <c r="AL416" s="83"/>
    </row>
    <row r="417" spans="3:38" ht="22.5" customHeight="1" x14ac:dyDescent="0.2">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c r="AK417" s="83"/>
      <c r="AL417" s="83"/>
    </row>
    <row r="418" spans="3:38" ht="22.5" customHeight="1" x14ac:dyDescent="0.2">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c r="AK418" s="83"/>
      <c r="AL418" s="83"/>
    </row>
    <row r="419" spans="3:38" ht="22.5" customHeight="1" x14ac:dyDescent="0.2">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c r="AK419" s="83"/>
      <c r="AL419" s="83"/>
    </row>
    <row r="420" spans="3:38" ht="22.5" customHeight="1" x14ac:dyDescent="0.2">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c r="AK420" s="83"/>
      <c r="AL420" s="83"/>
    </row>
    <row r="421" spans="3:38" ht="22.5" customHeight="1" x14ac:dyDescent="0.2">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c r="AK421" s="83"/>
      <c r="AL421" s="83"/>
    </row>
    <row r="422" spans="3:38" ht="22.5" customHeight="1" x14ac:dyDescent="0.2">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c r="AK422" s="83"/>
      <c r="AL422" s="83"/>
    </row>
    <row r="423" spans="3:38" ht="22.5" customHeight="1" x14ac:dyDescent="0.2">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c r="AK423" s="83"/>
      <c r="AL423" s="83"/>
    </row>
    <row r="424" spans="3:38" ht="22.5" customHeight="1" x14ac:dyDescent="0.2">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c r="AK424" s="83"/>
      <c r="AL424" s="83"/>
    </row>
    <row r="425" spans="3:38" ht="22.5" customHeight="1" x14ac:dyDescent="0.2">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c r="AK425" s="83"/>
      <c r="AL425" s="83"/>
    </row>
    <row r="426" spans="3:38" ht="22.5" customHeight="1" x14ac:dyDescent="0.2">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c r="AK426" s="83"/>
      <c r="AL426" s="83"/>
    </row>
    <row r="427" spans="3:38" ht="22.5" customHeight="1" x14ac:dyDescent="0.2">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c r="AK427" s="83"/>
      <c r="AL427" s="83"/>
    </row>
    <row r="428" spans="3:38" ht="22.5" customHeight="1" x14ac:dyDescent="0.2">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c r="AK428" s="83"/>
      <c r="AL428" s="83"/>
    </row>
    <row r="429" spans="3:38" ht="22.5" customHeight="1" x14ac:dyDescent="0.2">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c r="AK429" s="83"/>
      <c r="AL429" s="83"/>
    </row>
    <row r="430" spans="3:38" ht="22.5" customHeight="1" x14ac:dyDescent="0.2">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c r="AK430" s="83"/>
      <c r="AL430" s="83"/>
    </row>
    <row r="431" spans="3:38" ht="22.5" customHeight="1" x14ac:dyDescent="0.2">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c r="AK431" s="83"/>
      <c r="AL431" s="83"/>
    </row>
    <row r="432" spans="3:38" ht="22.5" customHeight="1" x14ac:dyDescent="0.2">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c r="AK432" s="83"/>
      <c r="AL432" s="83"/>
    </row>
    <row r="433" spans="3:38" ht="22.5" customHeight="1" x14ac:dyDescent="0.2">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c r="AK433" s="83"/>
      <c r="AL433" s="83"/>
    </row>
    <row r="434" spans="3:38" ht="22.5" customHeight="1" x14ac:dyDescent="0.2">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c r="AK434" s="83"/>
      <c r="AL434" s="83"/>
    </row>
    <row r="435" spans="3:38" ht="22.5" customHeight="1" x14ac:dyDescent="0.2">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c r="AK435" s="83"/>
      <c r="AL435" s="83"/>
    </row>
    <row r="436" spans="3:38" ht="22.5" customHeight="1" x14ac:dyDescent="0.2">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c r="AK436" s="83"/>
      <c r="AL436" s="83"/>
    </row>
    <row r="437" spans="3:38" ht="22.5" customHeight="1" x14ac:dyDescent="0.2">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c r="AK437" s="83"/>
      <c r="AL437" s="83"/>
    </row>
    <row r="438" spans="3:38" ht="22.5" customHeight="1" x14ac:dyDescent="0.2">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c r="AK438" s="83"/>
      <c r="AL438" s="83"/>
    </row>
    <row r="439" spans="3:38" ht="22.5" customHeight="1" x14ac:dyDescent="0.2">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c r="AK439" s="83"/>
      <c r="AL439" s="83"/>
    </row>
    <row r="440" spans="3:38" ht="22.5" customHeight="1" x14ac:dyDescent="0.2">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c r="AK440" s="83"/>
      <c r="AL440" s="83"/>
    </row>
    <row r="441" spans="3:38" ht="22.5" customHeight="1" x14ac:dyDescent="0.2">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c r="AK441" s="83"/>
      <c r="AL441" s="83"/>
    </row>
    <row r="442" spans="3:38" ht="22.5" customHeight="1" x14ac:dyDescent="0.2">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c r="AK442" s="83"/>
      <c r="AL442" s="83"/>
    </row>
    <row r="443" spans="3:38" ht="22.5" customHeight="1" x14ac:dyDescent="0.2">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c r="AK443" s="83"/>
      <c r="AL443" s="83"/>
    </row>
    <row r="444" spans="3:38" ht="22.5" customHeight="1" x14ac:dyDescent="0.2">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c r="AK444" s="83"/>
      <c r="AL444" s="83"/>
    </row>
    <row r="445" spans="3:38" ht="22.5" customHeight="1" x14ac:dyDescent="0.2">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c r="AK445" s="83"/>
      <c r="AL445" s="83"/>
    </row>
    <row r="446" spans="3:38" ht="22.5" customHeight="1" x14ac:dyDescent="0.2">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c r="AK446" s="83"/>
      <c r="AL446" s="83"/>
    </row>
    <row r="447" spans="3:38" ht="22.5" customHeight="1" x14ac:dyDescent="0.2">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c r="AK447" s="83"/>
      <c r="AL447" s="83"/>
    </row>
    <row r="448" spans="3:38" ht="22.5" customHeight="1" x14ac:dyDescent="0.2">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c r="AK448" s="83"/>
      <c r="AL448" s="83"/>
    </row>
    <row r="449" spans="3:38" ht="22.5" customHeight="1" x14ac:dyDescent="0.2">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c r="AK449" s="83"/>
      <c r="AL449" s="83"/>
    </row>
    <row r="450" spans="3:38" ht="22.5" customHeight="1" x14ac:dyDescent="0.2">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c r="AK450" s="83"/>
      <c r="AL450" s="83"/>
    </row>
    <row r="451" spans="3:38" ht="22.5" customHeight="1" x14ac:dyDescent="0.2">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c r="AK451" s="83"/>
      <c r="AL451" s="83"/>
    </row>
    <row r="452" spans="3:38" ht="22.5" customHeight="1" x14ac:dyDescent="0.2">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c r="AK452" s="83"/>
      <c r="AL452" s="83"/>
    </row>
    <row r="453" spans="3:38" ht="22.5" customHeight="1" x14ac:dyDescent="0.2">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c r="AK453" s="83"/>
      <c r="AL453" s="83"/>
    </row>
    <row r="454" spans="3:38" ht="22.5" customHeight="1" x14ac:dyDescent="0.2">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c r="AK454" s="83"/>
      <c r="AL454" s="83"/>
    </row>
    <row r="455" spans="3:38" ht="22.5" customHeight="1" x14ac:dyDescent="0.2">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c r="AK455" s="83"/>
      <c r="AL455" s="83"/>
    </row>
    <row r="456" spans="3:38" ht="22.5" customHeight="1" x14ac:dyDescent="0.2">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c r="AK456" s="83"/>
      <c r="AL456" s="83"/>
    </row>
    <row r="457" spans="3:38" ht="22.5" customHeight="1" x14ac:dyDescent="0.2">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c r="AK457" s="83"/>
      <c r="AL457" s="83"/>
    </row>
    <row r="458" spans="3:38" ht="22.5" customHeight="1" x14ac:dyDescent="0.2">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c r="AK458" s="83"/>
      <c r="AL458" s="83"/>
    </row>
    <row r="459" spans="3:38" ht="22.5" customHeight="1" x14ac:dyDescent="0.2">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c r="AK459" s="83"/>
      <c r="AL459" s="83"/>
    </row>
    <row r="460" spans="3:38" ht="22.5" customHeight="1" x14ac:dyDescent="0.2">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c r="AK460" s="83"/>
      <c r="AL460" s="83"/>
    </row>
    <row r="461" spans="3:38" ht="22.5" customHeight="1" x14ac:dyDescent="0.2">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c r="AK461" s="83"/>
      <c r="AL461" s="83"/>
    </row>
    <row r="462" spans="3:38" ht="22.5" customHeight="1" x14ac:dyDescent="0.2">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c r="AK462" s="83"/>
      <c r="AL462" s="83"/>
    </row>
    <row r="463" spans="3:38" ht="22.5" customHeight="1" x14ac:dyDescent="0.2">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c r="AK463" s="83"/>
      <c r="AL463" s="83"/>
    </row>
    <row r="464" spans="3:38" ht="22.5" customHeight="1" x14ac:dyDescent="0.2">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c r="AK464" s="83"/>
      <c r="AL464" s="83"/>
    </row>
    <row r="465" spans="3:38" ht="22.5" customHeight="1" x14ac:dyDescent="0.2">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c r="AK465" s="83"/>
      <c r="AL465" s="83"/>
    </row>
    <row r="466" spans="3:38" ht="22.5" customHeight="1" x14ac:dyDescent="0.2">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c r="AK466" s="83"/>
      <c r="AL466" s="83"/>
    </row>
    <row r="467" spans="3:38" ht="22.5" customHeight="1" x14ac:dyDescent="0.2">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c r="AK467" s="83"/>
      <c r="AL467" s="83"/>
    </row>
    <row r="468" spans="3:38" ht="22.5" customHeight="1" x14ac:dyDescent="0.2">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c r="AK468" s="83"/>
      <c r="AL468" s="83"/>
    </row>
    <row r="469" spans="3:38" ht="22.5" customHeight="1" x14ac:dyDescent="0.2">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c r="AK469" s="83"/>
      <c r="AL469" s="83"/>
    </row>
    <row r="470" spans="3:38" ht="22.5" customHeight="1" x14ac:dyDescent="0.2">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c r="AK470" s="83"/>
      <c r="AL470" s="83"/>
    </row>
    <row r="471" spans="3:38" ht="22.5" customHeight="1" x14ac:dyDescent="0.2">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c r="AK471" s="83"/>
      <c r="AL471" s="83"/>
    </row>
    <row r="472" spans="3:38" ht="22.5" customHeight="1" x14ac:dyDescent="0.2">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c r="AK472" s="83"/>
      <c r="AL472" s="83"/>
    </row>
    <row r="473" spans="3:38" ht="22.5" customHeight="1" x14ac:dyDescent="0.2">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c r="AK473" s="83"/>
      <c r="AL473" s="83"/>
    </row>
    <row r="474" spans="3:38" ht="22.5" customHeight="1" x14ac:dyDescent="0.2">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c r="AK474" s="83"/>
      <c r="AL474" s="83"/>
    </row>
    <row r="475" spans="3:38" ht="22.5" customHeight="1" x14ac:dyDescent="0.2">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c r="AK475" s="83"/>
      <c r="AL475" s="83"/>
    </row>
    <row r="476" spans="3:38" ht="22.5" customHeight="1" x14ac:dyDescent="0.2">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c r="AK476" s="83"/>
      <c r="AL476" s="83"/>
    </row>
    <row r="477" spans="3:38" ht="22.5" customHeight="1" x14ac:dyDescent="0.2">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c r="AK477" s="83"/>
      <c r="AL477" s="83"/>
    </row>
    <row r="478" spans="3:38" ht="22.5" customHeight="1" x14ac:dyDescent="0.2">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c r="AK478" s="83"/>
      <c r="AL478" s="83"/>
    </row>
    <row r="479" spans="3:38" ht="22.5" customHeight="1" x14ac:dyDescent="0.2">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c r="AK479" s="83"/>
      <c r="AL479" s="83"/>
    </row>
    <row r="480" spans="3:38" ht="22.5" customHeight="1" x14ac:dyDescent="0.2">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c r="AK480" s="83"/>
      <c r="AL480" s="83"/>
    </row>
    <row r="481" spans="3:38" ht="22.5" customHeight="1" x14ac:dyDescent="0.2">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c r="AK481" s="83"/>
      <c r="AL481" s="83"/>
    </row>
    <row r="482" spans="3:38" ht="22.5" customHeight="1" x14ac:dyDescent="0.2">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c r="AK482" s="83"/>
      <c r="AL482" s="83"/>
    </row>
    <row r="483" spans="3:38" ht="22.5" customHeight="1" x14ac:dyDescent="0.2">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c r="AK483" s="83"/>
      <c r="AL483" s="83"/>
    </row>
    <row r="484" spans="3:38" ht="22.5" customHeight="1" x14ac:dyDescent="0.2">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c r="AK484" s="83"/>
      <c r="AL484" s="83"/>
    </row>
    <row r="485" spans="3:38" ht="22.5" customHeight="1" x14ac:dyDescent="0.2">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c r="AK485" s="83"/>
      <c r="AL485" s="83"/>
    </row>
    <row r="486" spans="3:38" ht="22.5" customHeight="1" x14ac:dyDescent="0.2">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c r="AK486" s="83"/>
      <c r="AL486" s="83"/>
    </row>
    <row r="487" spans="3:38" ht="22.5" customHeight="1" x14ac:dyDescent="0.2">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c r="AK487" s="83"/>
      <c r="AL487" s="83"/>
    </row>
    <row r="488" spans="3:38" ht="22.5" customHeight="1" x14ac:dyDescent="0.2">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c r="AK488" s="83"/>
      <c r="AL488" s="83"/>
    </row>
    <row r="489" spans="3:38" ht="22.5" customHeight="1" x14ac:dyDescent="0.2">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c r="AK489" s="83"/>
      <c r="AL489" s="83"/>
    </row>
    <row r="490" spans="3:38" ht="22.5" customHeight="1" x14ac:dyDescent="0.2">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c r="AK490" s="83"/>
      <c r="AL490" s="83"/>
    </row>
    <row r="491" spans="3:38" ht="22.5" customHeight="1" x14ac:dyDescent="0.2">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c r="AK491" s="83"/>
      <c r="AL491" s="83"/>
    </row>
    <row r="492" spans="3:38" ht="22.5" customHeight="1" x14ac:dyDescent="0.2">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c r="AK492" s="83"/>
      <c r="AL492" s="83"/>
    </row>
    <row r="493" spans="3:38" ht="22.5" customHeight="1" x14ac:dyDescent="0.2">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c r="AK493" s="83"/>
      <c r="AL493" s="83"/>
    </row>
    <row r="494" spans="3:38" ht="22.5" customHeight="1" x14ac:dyDescent="0.2">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c r="AK494" s="83"/>
      <c r="AL494" s="83"/>
    </row>
    <row r="495" spans="3:38" ht="22.5" customHeight="1" x14ac:dyDescent="0.2">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c r="AK495" s="83"/>
      <c r="AL495" s="83"/>
    </row>
    <row r="496" spans="3:38" ht="22.5" customHeight="1" x14ac:dyDescent="0.2">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c r="AK496" s="83"/>
      <c r="AL496" s="83"/>
    </row>
    <row r="497" spans="3:38" ht="22.5" customHeight="1" x14ac:dyDescent="0.2">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c r="AK497" s="83"/>
      <c r="AL497" s="83"/>
    </row>
    <row r="498" spans="3:38" ht="22.5" customHeight="1" x14ac:dyDescent="0.2">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c r="AK498" s="83"/>
      <c r="AL498" s="83"/>
    </row>
    <row r="499" spans="3:38" ht="22.5" customHeight="1" x14ac:dyDescent="0.2">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c r="AK499" s="83"/>
      <c r="AL499" s="83"/>
    </row>
    <row r="500" spans="3:38" ht="22.5" customHeight="1" x14ac:dyDescent="0.2">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c r="AK500" s="83"/>
      <c r="AL500" s="83"/>
    </row>
    <row r="501" spans="3:38" ht="22.5" customHeight="1" x14ac:dyDescent="0.2">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c r="AK501" s="83"/>
      <c r="AL501" s="83"/>
    </row>
    <row r="502" spans="3:38" ht="22.5" customHeight="1" x14ac:dyDescent="0.2">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c r="AK502" s="83"/>
      <c r="AL502" s="83"/>
    </row>
    <row r="503" spans="3:38" ht="22.5" customHeight="1" x14ac:dyDescent="0.2">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c r="AK503" s="83"/>
      <c r="AL503" s="83"/>
    </row>
    <row r="504" spans="3:38" ht="22.5" customHeight="1" x14ac:dyDescent="0.2">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c r="AK504" s="83"/>
      <c r="AL504" s="83"/>
    </row>
    <row r="505" spans="3:38" ht="22.5" customHeight="1" x14ac:dyDescent="0.2">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c r="AK505" s="83"/>
      <c r="AL505" s="83"/>
    </row>
    <row r="506" spans="3:38" ht="22.5" customHeight="1" x14ac:dyDescent="0.2">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c r="AK506" s="83"/>
      <c r="AL506" s="83"/>
    </row>
    <row r="507" spans="3:38" ht="22.5" customHeight="1" x14ac:dyDescent="0.2">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c r="AK507" s="83"/>
      <c r="AL507" s="83"/>
    </row>
    <row r="508" spans="3:38" ht="22.5" customHeight="1" x14ac:dyDescent="0.2">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c r="AK508" s="83"/>
      <c r="AL508" s="83"/>
    </row>
    <row r="509" spans="3:38" ht="22.5" customHeight="1" x14ac:dyDescent="0.2">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c r="AK509" s="83"/>
      <c r="AL509" s="83"/>
    </row>
    <row r="510" spans="3:38" ht="22.5" customHeight="1" x14ac:dyDescent="0.2">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c r="AK510" s="83"/>
      <c r="AL510" s="83"/>
    </row>
    <row r="511" spans="3:38" ht="22.5" customHeight="1" x14ac:dyDescent="0.2">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c r="AK511" s="83"/>
      <c r="AL511" s="83"/>
    </row>
    <row r="512" spans="3:38" ht="22.5" customHeight="1" x14ac:dyDescent="0.2">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c r="AK512" s="83"/>
      <c r="AL512" s="83"/>
    </row>
    <row r="513" spans="3:38" ht="22.5" customHeight="1" x14ac:dyDescent="0.2">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c r="AK513" s="83"/>
      <c r="AL513" s="83"/>
    </row>
    <row r="514" spans="3:38" ht="22.5" customHeight="1" x14ac:dyDescent="0.2">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c r="AK514" s="83"/>
      <c r="AL514" s="83"/>
    </row>
    <row r="515" spans="3:38" ht="22.5" customHeight="1" x14ac:dyDescent="0.2">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c r="AK515" s="83"/>
      <c r="AL515" s="83"/>
    </row>
    <row r="516" spans="3:38" ht="22.5" customHeight="1" x14ac:dyDescent="0.2">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c r="AK516" s="83"/>
      <c r="AL516" s="83"/>
    </row>
    <row r="517" spans="3:38" ht="22.5" customHeight="1" x14ac:dyDescent="0.2">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c r="AK517" s="83"/>
      <c r="AL517" s="83"/>
    </row>
    <row r="518" spans="3:38" ht="22.5" customHeight="1" x14ac:dyDescent="0.2">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c r="AK518" s="83"/>
      <c r="AL518" s="83"/>
    </row>
    <row r="519" spans="3:38" ht="22.5" customHeight="1" x14ac:dyDescent="0.2">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c r="AK519" s="83"/>
      <c r="AL519" s="83"/>
    </row>
    <row r="520" spans="3:38" ht="22.5" customHeight="1" x14ac:dyDescent="0.2">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c r="AK520" s="83"/>
      <c r="AL520" s="83"/>
    </row>
    <row r="521" spans="3:38" ht="22.5" customHeight="1" x14ac:dyDescent="0.2">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c r="AK521" s="83"/>
      <c r="AL521" s="83"/>
    </row>
    <row r="522" spans="3:38" ht="22.5" customHeight="1" x14ac:dyDescent="0.2">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c r="AK522" s="83"/>
      <c r="AL522" s="83"/>
    </row>
    <row r="523" spans="3:38" ht="22.5" customHeight="1" x14ac:dyDescent="0.2">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c r="AK523" s="83"/>
      <c r="AL523" s="83"/>
    </row>
    <row r="524" spans="3:38" ht="22.5" customHeight="1" x14ac:dyDescent="0.2">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c r="AK524" s="83"/>
      <c r="AL524" s="83"/>
    </row>
    <row r="525" spans="3:38" ht="22.5" customHeight="1" x14ac:dyDescent="0.2">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c r="AK525" s="83"/>
      <c r="AL525" s="83"/>
    </row>
    <row r="526" spans="3:38" ht="22.5" customHeight="1" x14ac:dyDescent="0.2">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c r="AK526" s="83"/>
      <c r="AL526" s="83"/>
    </row>
    <row r="527" spans="3:38" ht="22.5" customHeight="1" x14ac:dyDescent="0.2">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c r="AK527" s="83"/>
      <c r="AL527" s="83"/>
    </row>
    <row r="528" spans="3:38" ht="22.5" customHeight="1" x14ac:dyDescent="0.2">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c r="AK528" s="83"/>
      <c r="AL528" s="83"/>
    </row>
    <row r="529" spans="3:38" ht="22.5" customHeight="1" x14ac:dyDescent="0.2">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c r="AK529" s="83"/>
      <c r="AL529" s="83"/>
    </row>
    <row r="530" spans="3:38" ht="22.5" customHeight="1" x14ac:dyDescent="0.2">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c r="AK530" s="83"/>
      <c r="AL530" s="83"/>
    </row>
    <row r="531" spans="3:38" ht="22.5" customHeight="1" x14ac:dyDescent="0.2">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c r="AK531" s="83"/>
      <c r="AL531" s="83"/>
    </row>
    <row r="532" spans="3:38" ht="22.5" customHeight="1" x14ac:dyDescent="0.2">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c r="AK532" s="83"/>
      <c r="AL532" s="83"/>
    </row>
    <row r="533" spans="3:38" ht="22.5" customHeight="1" x14ac:dyDescent="0.2">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c r="AK533" s="83"/>
      <c r="AL533" s="83"/>
    </row>
    <row r="534" spans="3:38" ht="22.5" customHeight="1" x14ac:dyDescent="0.2">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c r="AK534" s="83"/>
      <c r="AL534" s="83"/>
    </row>
    <row r="535" spans="3:38" ht="22.5" customHeight="1" x14ac:dyDescent="0.2">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c r="AK535" s="83"/>
      <c r="AL535" s="83"/>
    </row>
    <row r="536" spans="3:38" ht="22.5" customHeight="1" x14ac:dyDescent="0.2">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c r="AK536" s="83"/>
      <c r="AL536" s="83"/>
    </row>
    <row r="537" spans="3:38" ht="22.5" customHeight="1" x14ac:dyDescent="0.2">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c r="AK537" s="83"/>
      <c r="AL537" s="83"/>
    </row>
    <row r="538" spans="3:38" ht="22.5" customHeight="1" x14ac:dyDescent="0.2">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c r="AK538" s="83"/>
      <c r="AL538" s="83"/>
    </row>
    <row r="539" spans="3:38" ht="22.5" customHeight="1" x14ac:dyDescent="0.2">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c r="AK539" s="83"/>
      <c r="AL539" s="83"/>
    </row>
    <row r="540" spans="3:38" ht="22.5" customHeight="1" x14ac:dyDescent="0.2">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c r="AK540" s="83"/>
      <c r="AL540" s="83"/>
    </row>
    <row r="541" spans="3:38" ht="22.5" customHeight="1" x14ac:dyDescent="0.2">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c r="AK541" s="83"/>
      <c r="AL541" s="83"/>
    </row>
    <row r="542" spans="3:38" ht="22.5" customHeight="1" x14ac:dyDescent="0.2">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c r="AK542" s="83"/>
      <c r="AL542" s="83"/>
    </row>
    <row r="543" spans="3:38" ht="22.5" customHeight="1" x14ac:dyDescent="0.2">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c r="AK543" s="83"/>
      <c r="AL543" s="83"/>
    </row>
    <row r="544" spans="3:38" ht="22.5" customHeight="1" x14ac:dyDescent="0.2">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c r="AK544" s="83"/>
      <c r="AL544" s="83"/>
    </row>
    <row r="545" spans="3:38" ht="22.5" customHeight="1" x14ac:dyDescent="0.2">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c r="AK545" s="83"/>
      <c r="AL545" s="83"/>
    </row>
    <row r="546" spans="3:38" ht="22.5" customHeight="1" x14ac:dyDescent="0.2">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c r="AK546" s="83"/>
      <c r="AL546" s="83"/>
    </row>
    <row r="547" spans="3:38" ht="22.5" customHeight="1" x14ac:dyDescent="0.2">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c r="AK547" s="83"/>
      <c r="AL547" s="83"/>
    </row>
    <row r="548" spans="3:38" ht="22.5" customHeight="1" x14ac:dyDescent="0.2">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c r="AK548" s="83"/>
      <c r="AL548" s="83"/>
    </row>
    <row r="549" spans="3:38" ht="22.5" customHeight="1" x14ac:dyDescent="0.2">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c r="AK549" s="83"/>
      <c r="AL549" s="83"/>
    </row>
    <row r="550" spans="3:38" ht="22.5" customHeight="1" x14ac:dyDescent="0.2">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c r="AK550" s="83"/>
      <c r="AL550" s="83"/>
    </row>
    <row r="551" spans="3:38" ht="22.5" customHeight="1" x14ac:dyDescent="0.2">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c r="AK551" s="83"/>
      <c r="AL551" s="83"/>
    </row>
    <row r="552" spans="3:38" ht="22.5" customHeight="1" x14ac:dyDescent="0.2">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c r="AK552" s="83"/>
      <c r="AL552" s="83"/>
    </row>
    <row r="553" spans="3:38" ht="22.5" customHeight="1" x14ac:dyDescent="0.2">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c r="AK553" s="83"/>
      <c r="AL553" s="83"/>
    </row>
    <row r="554" spans="3:38" ht="22.5" customHeight="1" x14ac:dyDescent="0.2">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c r="AK554" s="83"/>
      <c r="AL554" s="83"/>
    </row>
    <row r="555" spans="3:38" ht="22.5" customHeight="1" x14ac:dyDescent="0.2">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c r="AK555" s="83"/>
      <c r="AL555" s="83"/>
    </row>
    <row r="556" spans="3:38" ht="22.5" customHeight="1" x14ac:dyDescent="0.2">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c r="AK556" s="83"/>
      <c r="AL556" s="83"/>
    </row>
    <row r="557" spans="3:38" ht="22.5" customHeight="1" x14ac:dyDescent="0.2">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c r="AK557" s="83"/>
      <c r="AL557" s="83"/>
    </row>
    <row r="558" spans="3:38" ht="22.5" customHeight="1" x14ac:dyDescent="0.2">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c r="AK558" s="83"/>
      <c r="AL558" s="83"/>
    </row>
    <row r="559" spans="3:38" ht="22.5" customHeight="1" x14ac:dyDescent="0.2">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c r="AK559" s="83"/>
      <c r="AL559" s="83"/>
    </row>
    <row r="560" spans="3:38" ht="22.5" customHeight="1" x14ac:dyDescent="0.2">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c r="AK560" s="83"/>
      <c r="AL560" s="83"/>
    </row>
    <row r="561" spans="3:38" ht="22.5" customHeight="1" x14ac:dyDescent="0.2">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c r="AK561" s="83"/>
      <c r="AL561" s="83"/>
    </row>
    <row r="562" spans="3:38" ht="22.5" customHeight="1" x14ac:dyDescent="0.2">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c r="AK562" s="83"/>
      <c r="AL562" s="83"/>
    </row>
    <row r="563" spans="3:38" ht="22.5" customHeight="1" x14ac:dyDescent="0.2">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c r="AK563" s="83"/>
      <c r="AL563" s="83"/>
    </row>
    <row r="564" spans="3:38" ht="22.5" customHeight="1" x14ac:dyDescent="0.2">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c r="AK564" s="83"/>
      <c r="AL564" s="83"/>
    </row>
    <row r="565" spans="3:38" ht="22.5" customHeight="1" x14ac:dyDescent="0.2">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c r="AK565" s="83"/>
      <c r="AL565" s="83"/>
    </row>
    <row r="566" spans="3:38" ht="22.5" customHeight="1" x14ac:dyDescent="0.2">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c r="AK566" s="83"/>
      <c r="AL566" s="83"/>
    </row>
    <row r="567" spans="3:38" ht="22.5" customHeight="1" x14ac:dyDescent="0.2">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c r="AK567" s="83"/>
      <c r="AL567" s="83"/>
    </row>
    <row r="568" spans="3:38" ht="22.5" customHeight="1" x14ac:dyDescent="0.2">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c r="AK568" s="83"/>
      <c r="AL568" s="83"/>
    </row>
    <row r="569" spans="3:38" ht="22.5" customHeight="1" x14ac:dyDescent="0.2">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c r="AK569" s="83"/>
      <c r="AL569" s="83"/>
    </row>
    <row r="570" spans="3:38" ht="22.5" customHeight="1" x14ac:dyDescent="0.2">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c r="AK570" s="83"/>
      <c r="AL570" s="83"/>
    </row>
    <row r="571" spans="3:38" ht="22.5" customHeight="1" x14ac:dyDescent="0.2">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c r="AK571" s="83"/>
      <c r="AL571" s="83"/>
    </row>
    <row r="572" spans="3:38" ht="22.5" customHeight="1" x14ac:dyDescent="0.2">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c r="AK572" s="83"/>
      <c r="AL572" s="83"/>
    </row>
    <row r="573" spans="3:38" ht="22.5" customHeight="1" x14ac:dyDescent="0.2">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c r="AK573" s="83"/>
      <c r="AL573" s="83"/>
    </row>
    <row r="574" spans="3:38" ht="22.5" customHeight="1" x14ac:dyDescent="0.2">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c r="AK574" s="83"/>
      <c r="AL574" s="83"/>
    </row>
    <row r="575" spans="3:38" ht="22.5" customHeight="1" x14ac:dyDescent="0.2">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c r="AK575" s="83"/>
      <c r="AL575" s="83"/>
    </row>
    <row r="576" spans="3:38" ht="22.5" customHeight="1" x14ac:dyDescent="0.2">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c r="AK576" s="83"/>
      <c r="AL576" s="83"/>
    </row>
    <row r="577" spans="3:38" ht="22.5" customHeight="1" x14ac:dyDescent="0.2">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c r="AK577" s="83"/>
      <c r="AL577" s="83"/>
    </row>
    <row r="578" spans="3:38" ht="22.5" customHeight="1" x14ac:dyDescent="0.2">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c r="AK578" s="83"/>
      <c r="AL578" s="83"/>
    </row>
    <row r="579" spans="3:38" ht="22.5" customHeight="1" x14ac:dyDescent="0.2">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c r="AK579" s="83"/>
      <c r="AL579" s="83"/>
    </row>
    <row r="580" spans="3:38" ht="22.5" customHeight="1" x14ac:dyDescent="0.2">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c r="AK580" s="83"/>
      <c r="AL580" s="83"/>
    </row>
    <row r="581" spans="3:38" ht="22.5" customHeight="1" x14ac:dyDescent="0.2">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c r="AK581" s="83"/>
      <c r="AL581" s="83"/>
    </row>
    <row r="582" spans="3:38" ht="22.5" customHeight="1" x14ac:dyDescent="0.2">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c r="AK582" s="83"/>
      <c r="AL582" s="83"/>
    </row>
    <row r="583" spans="3:38" ht="22.5" customHeight="1" x14ac:dyDescent="0.2">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c r="AK583" s="83"/>
      <c r="AL583" s="83"/>
    </row>
    <row r="584" spans="3:38" ht="22.5" customHeight="1" x14ac:dyDescent="0.2">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c r="AK584" s="83"/>
      <c r="AL584" s="83"/>
    </row>
    <row r="585" spans="3:38" ht="22.5" customHeight="1" x14ac:dyDescent="0.2">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c r="AK585" s="83"/>
      <c r="AL585" s="83"/>
    </row>
    <row r="586" spans="3:38" ht="22.5" customHeight="1" x14ac:dyDescent="0.2">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c r="AK586" s="83"/>
      <c r="AL586" s="83"/>
    </row>
    <row r="587" spans="3:38" ht="22.5" customHeight="1" x14ac:dyDescent="0.2">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c r="AK587" s="83"/>
      <c r="AL587" s="83"/>
    </row>
    <row r="588" spans="3:38" ht="22.5" customHeight="1" x14ac:dyDescent="0.2">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c r="AK588" s="83"/>
      <c r="AL588" s="83"/>
    </row>
    <row r="589" spans="3:38" ht="22.5" customHeight="1" x14ac:dyDescent="0.2">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c r="AK589" s="83"/>
      <c r="AL589" s="83"/>
    </row>
    <row r="590" spans="3:38" ht="22.5" customHeight="1" x14ac:dyDescent="0.2">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c r="AK590" s="83"/>
      <c r="AL590" s="83"/>
    </row>
    <row r="591" spans="3:38" ht="22.5" customHeight="1" x14ac:dyDescent="0.2">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c r="AK591" s="83"/>
      <c r="AL591" s="83"/>
    </row>
    <row r="592" spans="3:38" ht="22.5" customHeight="1" x14ac:dyDescent="0.2">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c r="AK592" s="83"/>
      <c r="AL592" s="83"/>
    </row>
    <row r="593" spans="3:38" ht="22.5" customHeight="1" x14ac:dyDescent="0.2">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c r="AK593" s="83"/>
      <c r="AL593" s="83"/>
    </row>
    <row r="594" spans="3:38" ht="22.5" customHeight="1" x14ac:dyDescent="0.2">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c r="AK594" s="83"/>
      <c r="AL594" s="83"/>
    </row>
    <row r="595" spans="3:38" ht="22.5" customHeight="1" x14ac:dyDescent="0.2">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c r="AK595" s="83"/>
      <c r="AL595" s="83"/>
    </row>
    <row r="596" spans="3:38" ht="22.5" customHeight="1" x14ac:dyDescent="0.2">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c r="AK596" s="83"/>
      <c r="AL596" s="83"/>
    </row>
    <row r="597" spans="3:38" ht="22.5" customHeight="1" x14ac:dyDescent="0.2">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c r="AK597" s="83"/>
      <c r="AL597" s="83"/>
    </row>
    <row r="598" spans="3:38" ht="22.5" customHeight="1" x14ac:dyDescent="0.2">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c r="AK598" s="83"/>
      <c r="AL598" s="83"/>
    </row>
    <row r="599" spans="3:38" ht="22.5" customHeight="1" x14ac:dyDescent="0.2">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c r="AK599" s="83"/>
      <c r="AL599" s="83"/>
    </row>
    <row r="600" spans="3:38" ht="22.5" customHeight="1" x14ac:dyDescent="0.2">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c r="AK600" s="83"/>
      <c r="AL600" s="83"/>
    </row>
    <row r="601" spans="3:38" ht="22.5" customHeight="1" x14ac:dyDescent="0.2">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c r="AK601" s="83"/>
      <c r="AL601" s="83"/>
    </row>
    <row r="602" spans="3:38" ht="22.5" customHeight="1" x14ac:dyDescent="0.2">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c r="AK602" s="83"/>
      <c r="AL602" s="83"/>
    </row>
    <row r="603" spans="3:38" ht="22.5" customHeight="1" x14ac:dyDescent="0.2">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c r="AK603" s="83"/>
      <c r="AL603" s="83"/>
    </row>
    <row r="604" spans="3:38" ht="22.5" customHeight="1" x14ac:dyDescent="0.2">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c r="AK604" s="83"/>
      <c r="AL604" s="83"/>
    </row>
    <row r="605" spans="3:38" ht="22.5" customHeight="1" x14ac:dyDescent="0.2">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c r="AK605" s="83"/>
      <c r="AL605" s="83"/>
    </row>
    <row r="606" spans="3:38" ht="22.5" customHeight="1" x14ac:dyDescent="0.2">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c r="AK606" s="83"/>
      <c r="AL606" s="83"/>
    </row>
    <row r="607" spans="3:38" ht="22.5" customHeight="1" x14ac:dyDescent="0.2">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c r="AK607" s="83"/>
      <c r="AL607" s="83"/>
    </row>
    <row r="608" spans="3:38" ht="22.5" customHeight="1" x14ac:dyDescent="0.2">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c r="AK608" s="83"/>
      <c r="AL608" s="83"/>
    </row>
    <row r="609" spans="3:38" ht="22.5" customHeight="1" x14ac:dyDescent="0.2">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c r="AK609" s="83"/>
      <c r="AL609" s="83"/>
    </row>
    <row r="610" spans="3:38" ht="22.5" customHeight="1" x14ac:dyDescent="0.2">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c r="AK610" s="83"/>
      <c r="AL610" s="83"/>
    </row>
    <row r="611" spans="3:38" ht="22.5" customHeight="1" x14ac:dyDescent="0.2">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c r="AK611" s="83"/>
      <c r="AL611" s="83"/>
    </row>
    <row r="612" spans="3:38" ht="22.5" customHeight="1" x14ac:dyDescent="0.2">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c r="AK612" s="83"/>
      <c r="AL612" s="83"/>
    </row>
    <row r="613" spans="3:38" ht="22.5" customHeight="1" x14ac:dyDescent="0.2">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c r="AK613" s="83"/>
      <c r="AL613" s="83"/>
    </row>
    <row r="614" spans="3:38" ht="22.5" customHeight="1" x14ac:dyDescent="0.2">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c r="AK614" s="83"/>
      <c r="AL614" s="83"/>
    </row>
    <row r="615" spans="3:38" ht="22.5" customHeight="1" x14ac:dyDescent="0.2">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c r="AK615" s="83"/>
      <c r="AL615" s="83"/>
    </row>
    <row r="616" spans="3:38" ht="22.5" customHeight="1" x14ac:dyDescent="0.2">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c r="AK616" s="83"/>
      <c r="AL616" s="83"/>
    </row>
    <row r="617" spans="3:38" ht="22.5" customHeight="1" x14ac:dyDescent="0.2">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c r="AK617" s="83"/>
      <c r="AL617" s="83"/>
    </row>
    <row r="618" spans="3:38" ht="22.5" customHeight="1" x14ac:dyDescent="0.2">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c r="AK618" s="83"/>
      <c r="AL618" s="83"/>
    </row>
    <row r="619" spans="3:38" ht="22.5" customHeight="1" x14ac:dyDescent="0.2">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c r="AK619" s="83"/>
      <c r="AL619" s="83"/>
    </row>
    <row r="620" spans="3:38" ht="22.5" customHeight="1" x14ac:dyDescent="0.2">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c r="AK620" s="83"/>
      <c r="AL620" s="83"/>
    </row>
    <row r="621" spans="3:38" ht="22.5" customHeight="1" x14ac:dyDescent="0.2">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c r="AK621" s="83"/>
      <c r="AL621" s="83"/>
    </row>
    <row r="622" spans="3:38" ht="22.5" customHeight="1" x14ac:dyDescent="0.2">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c r="AK622" s="83"/>
      <c r="AL622" s="83"/>
    </row>
    <row r="623" spans="3:38" ht="22.5" customHeight="1" x14ac:dyDescent="0.2">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c r="AK623" s="83"/>
      <c r="AL623" s="83"/>
    </row>
    <row r="624" spans="3:38" ht="22.5" customHeight="1" x14ac:dyDescent="0.2">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c r="AK624" s="83"/>
      <c r="AL624" s="83"/>
    </row>
    <row r="625" spans="3:38" ht="22.5" customHeight="1" x14ac:dyDescent="0.2">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c r="AK625" s="83"/>
      <c r="AL625" s="83"/>
    </row>
    <row r="626" spans="3:38" ht="22.5" customHeight="1" x14ac:dyDescent="0.2">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c r="AK626" s="83"/>
      <c r="AL626" s="83"/>
    </row>
    <row r="627" spans="3:38" ht="22.5" customHeight="1" x14ac:dyDescent="0.2">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c r="AK627" s="83"/>
      <c r="AL627" s="83"/>
    </row>
    <row r="628" spans="3:38" ht="22.5" customHeight="1" x14ac:dyDescent="0.2">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c r="AK628" s="83"/>
      <c r="AL628" s="83"/>
    </row>
    <row r="629" spans="3:38" ht="22.5" customHeight="1" x14ac:dyDescent="0.2">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c r="AK629" s="83"/>
      <c r="AL629" s="83"/>
    </row>
    <row r="630" spans="3:38" ht="22.5" customHeight="1" x14ac:dyDescent="0.2">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c r="AK630" s="83"/>
      <c r="AL630" s="83"/>
    </row>
    <row r="631" spans="3:38" ht="22.5" customHeight="1" x14ac:dyDescent="0.2">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c r="AK631" s="83"/>
      <c r="AL631" s="83"/>
    </row>
    <row r="632" spans="3:38" ht="22.5" customHeight="1" x14ac:dyDescent="0.2">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c r="AK632" s="83"/>
      <c r="AL632" s="83"/>
    </row>
    <row r="633" spans="3:38" ht="22.5" customHeight="1" x14ac:dyDescent="0.2">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c r="AK633" s="83"/>
      <c r="AL633" s="83"/>
    </row>
    <row r="634" spans="3:38" ht="22.5" customHeight="1" x14ac:dyDescent="0.2">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c r="AK634" s="83"/>
      <c r="AL634" s="83"/>
    </row>
    <row r="635" spans="3:38" ht="22.5" customHeight="1" x14ac:dyDescent="0.2">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c r="AK635" s="83"/>
      <c r="AL635" s="83"/>
    </row>
    <row r="636" spans="3:38" ht="22.5" customHeight="1" x14ac:dyDescent="0.2">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c r="AK636" s="83"/>
      <c r="AL636" s="83"/>
    </row>
    <row r="637" spans="3:38" ht="22.5" customHeight="1" x14ac:dyDescent="0.2">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c r="AK637" s="83"/>
      <c r="AL637" s="83"/>
    </row>
    <row r="638" spans="3:38" ht="22.5" customHeight="1" x14ac:dyDescent="0.2">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c r="AK638" s="83"/>
      <c r="AL638" s="83"/>
    </row>
    <row r="639" spans="3:38" ht="22.5" customHeight="1" x14ac:dyDescent="0.2">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c r="AK639" s="83"/>
      <c r="AL639" s="83"/>
    </row>
    <row r="640" spans="3:38" ht="22.5" customHeight="1" x14ac:dyDescent="0.2">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c r="AK640" s="83"/>
      <c r="AL640" s="83"/>
    </row>
    <row r="641" spans="3:38" ht="22.5" customHeight="1" x14ac:dyDescent="0.2">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c r="AK641" s="83"/>
      <c r="AL641" s="83"/>
    </row>
    <row r="642" spans="3:38" ht="22.5" customHeight="1" x14ac:dyDescent="0.2">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c r="AK642" s="83"/>
      <c r="AL642" s="83"/>
    </row>
    <row r="643" spans="3:38" ht="22.5" customHeight="1" x14ac:dyDescent="0.2">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c r="AK643" s="83"/>
      <c r="AL643" s="83"/>
    </row>
    <row r="644" spans="3:38" ht="22.5" customHeight="1" x14ac:dyDescent="0.2">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c r="AK644" s="83"/>
      <c r="AL644" s="83"/>
    </row>
    <row r="645" spans="3:38" ht="22.5" customHeight="1" x14ac:dyDescent="0.2">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c r="AK645" s="83"/>
      <c r="AL645" s="83"/>
    </row>
    <row r="646" spans="3:38" ht="22.5" customHeight="1" x14ac:dyDescent="0.2">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c r="AK646" s="83"/>
      <c r="AL646" s="83"/>
    </row>
    <row r="647" spans="3:38" ht="22.5" customHeight="1" x14ac:dyDescent="0.2">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c r="AK647" s="83"/>
      <c r="AL647" s="83"/>
    </row>
    <row r="648" spans="3:38" ht="22.5" customHeight="1" x14ac:dyDescent="0.2">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c r="AK648" s="83"/>
      <c r="AL648" s="83"/>
    </row>
    <row r="649" spans="3:38" ht="22.5" customHeight="1" x14ac:dyDescent="0.2">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c r="AK649" s="83"/>
      <c r="AL649" s="83"/>
    </row>
    <row r="650" spans="3:38" ht="22.5" customHeight="1" x14ac:dyDescent="0.2">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c r="AK650" s="83"/>
      <c r="AL650" s="83"/>
    </row>
    <row r="651" spans="3:38" ht="22.5" customHeight="1" x14ac:dyDescent="0.2">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c r="AK651" s="83"/>
      <c r="AL651" s="83"/>
    </row>
    <row r="652" spans="3:38" ht="22.5" customHeight="1" x14ac:dyDescent="0.2">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c r="AK652" s="83"/>
      <c r="AL652" s="83"/>
    </row>
    <row r="653" spans="3:38" ht="22.5" customHeight="1" x14ac:dyDescent="0.2">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c r="AK653" s="83"/>
      <c r="AL653" s="83"/>
    </row>
    <row r="654" spans="3:38" ht="22.5" customHeight="1" x14ac:dyDescent="0.2">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c r="AK654" s="83"/>
      <c r="AL654" s="83"/>
    </row>
    <row r="655" spans="3:38" ht="22.5" customHeight="1" x14ac:dyDescent="0.2">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c r="AK655" s="83"/>
      <c r="AL655" s="83"/>
    </row>
    <row r="656" spans="3:38" ht="22.5" customHeight="1" x14ac:dyDescent="0.2">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c r="AK656" s="83"/>
      <c r="AL656" s="83"/>
    </row>
    <row r="657" spans="3:38" ht="22.5" customHeight="1" x14ac:dyDescent="0.2">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c r="AK657" s="83"/>
      <c r="AL657" s="83"/>
    </row>
    <row r="658" spans="3:38" ht="22.5" customHeight="1" x14ac:dyDescent="0.2">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c r="AK658" s="83"/>
      <c r="AL658" s="83"/>
    </row>
    <row r="659" spans="3:38" ht="22.5" customHeight="1" x14ac:dyDescent="0.2">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c r="AK659" s="83"/>
      <c r="AL659" s="83"/>
    </row>
    <row r="660" spans="3:38" ht="22.5" customHeight="1" x14ac:dyDescent="0.2">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c r="AK660" s="83"/>
      <c r="AL660" s="83"/>
    </row>
    <row r="661" spans="3:38" ht="22.5" customHeight="1" x14ac:dyDescent="0.2">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c r="AK661" s="83"/>
      <c r="AL661" s="83"/>
    </row>
    <row r="662" spans="3:38" ht="22.5" customHeight="1" x14ac:dyDescent="0.2">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c r="AK662" s="83"/>
      <c r="AL662" s="83"/>
    </row>
    <row r="663" spans="3:38" ht="22.5" customHeight="1" x14ac:dyDescent="0.2">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c r="AK663" s="83"/>
      <c r="AL663" s="83"/>
    </row>
    <row r="664" spans="3:38" ht="22.5" customHeight="1" x14ac:dyDescent="0.2">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c r="AK664" s="83"/>
      <c r="AL664" s="83"/>
    </row>
    <row r="665" spans="3:38" ht="22.5" customHeight="1" x14ac:dyDescent="0.2">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c r="AK665" s="83"/>
      <c r="AL665" s="83"/>
    </row>
    <row r="666" spans="3:38" ht="22.5" customHeight="1" x14ac:dyDescent="0.2">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c r="AK666" s="83"/>
      <c r="AL666" s="83"/>
    </row>
    <row r="667" spans="3:38" ht="22.5" customHeight="1" x14ac:dyDescent="0.2">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c r="AK667" s="83"/>
      <c r="AL667" s="83"/>
    </row>
    <row r="668" spans="3:38" ht="22.5" customHeight="1" x14ac:dyDescent="0.2">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c r="AK668" s="83"/>
      <c r="AL668" s="83"/>
    </row>
    <row r="669" spans="3:38" ht="22.5" customHeight="1" x14ac:dyDescent="0.2">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c r="AK669" s="83"/>
      <c r="AL669" s="83"/>
    </row>
    <row r="670" spans="3:38" ht="22.5" customHeight="1" x14ac:dyDescent="0.2">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c r="AK670" s="83"/>
      <c r="AL670" s="83"/>
    </row>
    <row r="671" spans="3:38" ht="22.5" customHeight="1" x14ac:dyDescent="0.2">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c r="AK671" s="83"/>
      <c r="AL671" s="83"/>
    </row>
    <row r="672" spans="3:38" ht="22.5" customHeight="1" x14ac:dyDescent="0.2">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c r="AK672" s="83"/>
      <c r="AL672" s="83"/>
    </row>
    <row r="673" spans="3:38" ht="22.5" customHeight="1" x14ac:dyDescent="0.2">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c r="AK673" s="83"/>
      <c r="AL673" s="83"/>
    </row>
    <row r="674" spans="3:38" ht="22.5" customHeight="1" x14ac:dyDescent="0.2">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c r="AK674" s="83"/>
      <c r="AL674" s="83"/>
    </row>
    <row r="675" spans="3:38" ht="22.5" customHeight="1" x14ac:dyDescent="0.2">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c r="AK675" s="83"/>
      <c r="AL675" s="83"/>
    </row>
    <row r="676" spans="3:38" ht="22.5" customHeight="1" x14ac:dyDescent="0.2">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c r="AK676" s="83"/>
      <c r="AL676" s="83"/>
    </row>
    <row r="677" spans="3:38" ht="22.5" customHeight="1" x14ac:dyDescent="0.2">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c r="AK677" s="83"/>
      <c r="AL677" s="83"/>
    </row>
    <row r="678" spans="3:38" ht="22.5" customHeight="1" x14ac:dyDescent="0.2">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c r="AK678" s="83"/>
      <c r="AL678" s="83"/>
    </row>
    <row r="679" spans="3:38" ht="22.5" customHeight="1" x14ac:dyDescent="0.2">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c r="AK679" s="83"/>
      <c r="AL679" s="83"/>
    </row>
    <row r="680" spans="3:38" ht="22.5" customHeight="1" x14ac:dyDescent="0.2">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c r="AK680" s="83"/>
      <c r="AL680" s="83"/>
    </row>
    <row r="681" spans="3:38" ht="22.5" customHeight="1" x14ac:dyDescent="0.2">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c r="AK681" s="83"/>
      <c r="AL681" s="83"/>
    </row>
    <row r="682" spans="3:38" ht="22.5" customHeight="1" x14ac:dyDescent="0.2">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c r="AK682" s="83"/>
      <c r="AL682" s="83"/>
    </row>
    <row r="683" spans="3:38" ht="22.5" customHeight="1" x14ac:dyDescent="0.2">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c r="AK683" s="83"/>
      <c r="AL683" s="83"/>
    </row>
    <row r="684" spans="3:38" ht="22.5" customHeight="1" x14ac:dyDescent="0.2">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c r="AK684" s="83"/>
      <c r="AL684" s="83"/>
    </row>
    <row r="685" spans="3:38" ht="22.5" customHeight="1" x14ac:dyDescent="0.2">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c r="AK685" s="83"/>
      <c r="AL685" s="83"/>
    </row>
    <row r="686" spans="3:38" ht="22.5" customHeight="1" x14ac:dyDescent="0.2">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c r="AK686" s="83"/>
      <c r="AL686" s="83"/>
    </row>
    <row r="687" spans="3:38" ht="22.5" customHeight="1" x14ac:dyDescent="0.2">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c r="AK687" s="83"/>
      <c r="AL687" s="83"/>
    </row>
    <row r="688" spans="3:38" ht="22.5" customHeight="1" x14ac:dyDescent="0.2">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c r="AK688" s="83"/>
      <c r="AL688" s="83"/>
    </row>
    <row r="689" spans="3:38" ht="22.5" customHeight="1" x14ac:dyDescent="0.2">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c r="AK689" s="83"/>
      <c r="AL689" s="83"/>
    </row>
    <row r="690" spans="3:38" ht="22.5" customHeight="1" x14ac:dyDescent="0.2">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c r="AK690" s="83"/>
      <c r="AL690" s="83"/>
    </row>
    <row r="691" spans="3:38" ht="22.5" customHeight="1" x14ac:dyDescent="0.2">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c r="AK691" s="83"/>
      <c r="AL691" s="83"/>
    </row>
    <row r="692" spans="3:38" ht="22.5" customHeight="1" x14ac:dyDescent="0.2">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c r="AK692" s="83"/>
      <c r="AL692" s="83"/>
    </row>
    <row r="693" spans="3:38" ht="22.5" customHeight="1" x14ac:dyDescent="0.2">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c r="AK693" s="83"/>
      <c r="AL693" s="83"/>
    </row>
    <row r="694" spans="3:38" ht="22.5" customHeight="1" x14ac:dyDescent="0.2">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c r="AK694" s="83"/>
      <c r="AL694" s="83"/>
    </row>
    <row r="695" spans="3:38" ht="22.5" customHeight="1" x14ac:dyDescent="0.2">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c r="AK695" s="83"/>
      <c r="AL695" s="83"/>
    </row>
    <row r="696" spans="3:38" ht="22.5" customHeight="1" x14ac:dyDescent="0.2">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c r="AK696" s="83"/>
      <c r="AL696" s="83"/>
    </row>
    <row r="697" spans="3:38" ht="22.5" customHeight="1" x14ac:dyDescent="0.2">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c r="AK697" s="83"/>
      <c r="AL697" s="83"/>
    </row>
    <row r="698" spans="3:38" ht="22.5" customHeight="1" x14ac:dyDescent="0.2">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c r="AK698" s="83"/>
      <c r="AL698" s="83"/>
    </row>
    <row r="699" spans="3:38" ht="22.5" customHeight="1" x14ac:dyDescent="0.2">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c r="AK699" s="83"/>
      <c r="AL699" s="83"/>
    </row>
    <row r="700" spans="3:38" ht="22.5" customHeight="1" x14ac:dyDescent="0.2">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c r="AK700" s="83"/>
      <c r="AL700" s="83"/>
    </row>
    <row r="701" spans="3:38" ht="22.5" customHeight="1" x14ac:dyDescent="0.2">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c r="AK701" s="83"/>
      <c r="AL701" s="83"/>
    </row>
    <row r="702" spans="3:38" ht="22.5" customHeight="1" x14ac:dyDescent="0.2">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c r="AK702" s="83"/>
      <c r="AL702" s="83"/>
    </row>
    <row r="703" spans="3:38" ht="22.5" customHeight="1" x14ac:dyDescent="0.2">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c r="AK703" s="83"/>
      <c r="AL703" s="83"/>
    </row>
    <row r="704" spans="3:38" ht="22.5" customHeight="1" x14ac:dyDescent="0.2">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c r="AK704" s="83"/>
      <c r="AL704" s="83"/>
    </row>
    <row r="705" spans="3:38" ht="22.5" customHeight="1" x14ac:dyDescent="0.2">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c r="AK705" s="83"/>
      <c r="AL705" s="83"/>
    </row>
    <row r="706" spans="3:38" ht="22.5" customHeight="1" x14ac:dyDescent="0.2">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c r="AK706" s="83"/>
      <c r="AL706" s="83"/>
    </row>
    <row r="707" spans="3:38" ht="22.5" customHeight="1" x14ac:dyDescent="0.2">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c r="AK707" s="83"/>
      <c r="AL707" s="83"/>
    </row>
    <row r="708" spans="3:38" ht="22.5" customHeight="1" x14ac:dyDescent="0.2">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c r="AK708" s="83"/>
      <c r="AL708" s="83"/>
    </row>
    <row r="709" spans="3:38" ht="22.5" customHeight="1" x14ac:dyDescent="0.2">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c r="AK709" s="83"/>
      <c r="AL709" s="83"/>
    </row>
    <row r="710" spans="3:38" ht="22.5" customHeight="1" x14ac:dyDescent="0.2">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c r="AK710" s="83"/>
      <c r="AL710" s="83"/>
    </row>
    <row r="711" spans="3:38" ht="22.5" customHeight="1" x14ac:dyDescent="0.2">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c r="AK711" s="83"/>
      <c r="AL711" s="83"/>
    </row>
    <row r="712" spans="3:38" ht="22.5" customHeight="1" x14ac:dyDescent="0.2">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c r="AK712" s="83"/>
      <c r="AL712" s="83"/>
    </row>
    <row r="713" spans="3:38" ht="22.5" customHeight="1" x14ac:dyDescent="0.2">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c r="AK713" s="83"/>
      <c r="AL713" s="83"/>
    </row>
    <row r="714" spans="3:38" ht="22.5" customHeight="1" x14ac:dyDescent="0.2">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c r="AK714" s="83"/>
      <c r="AL714" s="83"/>
    </row>
    <row r="715" spans="3:38" ht="22.5" customHeight="1" x14ac:dyDescent="0.2">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c r="AK715" s="83"/>
      <c r="AL715" s="83"/>
    </row>
    <row r="716" spans="3:38" ht="22.5" customHeight="1" x14ac:dyDescent="0.2">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c r="AK716" s="83"/>
      <c r="AL716" s="83"/>
    </row>
    <row r="717" spans="3:38" ht="22.5" customHeight="1" x14ac:dyDescent="0.2">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c r="AK717" s="83"/>
      <c r="AL717" s="83"/>
    </row>
    <row r="718" spans="3:38" ht="22.5" customHeight="1" x14ac:dyDescent="0.2">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c r="AK718" s="83"/>
      <c r="AL718" s="83"/>
    </row>
    <row r="719" spans="3:38" ht="22.5" customHeight="1" x14ac:dyDescent="0.2">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c r="AK719" s="83"/>
      <c r="AL719" s="83"/>
    </row>
    <row r="720" spans="3:38" ht="22.5" customHeight="1" x14ac:dyDescent="0.2">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c r="AK720" s="83"/>
      <c r="AL720" s="83"/>
    </row>
    <row r="721" spans="3:38" ht="22.5" customHeight="1" x14ac:dyDescent="0.2">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c r="AK721" s="83"/>
      <c r="AL721" s="83"/>
    </row>
    <row r="722" spans="3:38" ht="22.5" customHeight="1" x14ac:dyDescent="0.2">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c r="AK722" s="83"/>
      <c r="AL722" s="83"/>
    </row>
    <row r="723" spans="3:38" ht="22.5" customHeight="1" x14ac:dyDescent="0.2">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c r="AK723" s="83"/>
      <c r="AL723" s="83"/>
    </row>
    <row r="724" spans="3:38" ht="22.5" customHeight="1" x14ac:dyDescent="0.2">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c r="AK724" s="83"/>
      <c r="AL724" s="83"/>
    </row>
    <row r="725" spans="3:38" ht="22.5" customHeight="1" x14ac:dyDescent="0.2">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c r="AK725" s="83"/>
      <c r="AL725" s="83"/>
    </row>
    <row r="726" spans="3:38" ht="22.5" customHeight="1" x14ac:dyDescent="0.2">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c r="AK726" s="83"/>
      <c r="AL726" s="83"/>
    </row>
    <row r="727" spans="3:38" ht="22.5" customHeight="1" x14ac:dyDescent="0.2">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c r="AK727" s="83"/>
      <c r="AL727" s="83"/>
    </row>
    <row r="728" spans="3:38" ht="22.5" customHeight="1" x14ac:dyDescent="0.2">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c r="AK728" s="83"/>
      <c r="AL728" s="83"/>
    </row>
    <row r="729" spans="3:38" ht="22.5" customHeight="1" x14ac:dyDescent="0.2">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c r="AK729" s="83"/>
      <c r="AL729" s="83"/>
    </row>
    <row r="730" spans="3:38" ht="22.5" customHeight="1" x14ac:dyDescent="0.2">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c r="AK730" s="83"/>
      <c r="AL730" s="83"/>
    </row>
    <row r="731" spans="3:38" ht="22.5" customHeight="1" x14ac:dyDescent="0.2">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c r="AK731" s="83"/>
      <c r="AL731" s="83"/>
    </row>
    <row r="732" spans="3:38" ht="22.5" customHeight="1" x14ac:dyDescent="0.2">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c r="AK732" s="83"/>
      <c r="AL732" s="83"/>
    </row>
    <row r="733" spans="3:38" ht="22.5" customHeight="1" x14ac:dyDescent="0.2">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c r="AK733" s="83"/>
      <c r="AL733" s="83"/>
    </row>
    <row r="734" spans="3:38" ht="22.5" customHeight="1" x14ac:dyDescent="0.2">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c r="AK734" s="83"/>
      <c r="AL734" s="83"/>
    </row>
    <row r="735" spans="3:38" ht="22.5" customHeight="1" x14ac:dyDescent="0.2">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c r="AK735" s="83"/>
      <c r="AL735" s="83"/>
    </row>
    <row r="736" spans="3:38" ht="22.5" customHeight="1" x14ac:dyDescent="0.2">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c r="AK736" s="83"/>
      <c r="AL736" s="83"/>
    </row>
    <row r="737" spans="3:38" ht="22.5" customHeight="1" x14ac:dyDescent="0.2">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c r="AK737" s="83"/>
      <c r="AL737" s="83"/>
    </row>
    <row r="738" spans="3:38" ht="22.5" customHeight="1" x14ac:dyDescent="0.2">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c r="AK738" s="83"/>
      <c r="AL738" s="83"/>
    </row>
    <row r="739" spans="3:38" ht="22.5" customHeight="1" x14ac:dyDescent="0.2">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c r="AK739" s="83"/>
      <c r="AL739" s="83"/>
    </row>
    <row r="740" spans="3:38" ht="22.5" customHeight="1" x14ac:dyDescent="0.2">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c r="AK740" s="83"/>
      <c r="AL740" s="83"/>
    </row>
    <row r="741" spans="3:38" ht="22.5" customHeight="1" x14ac:dyDescent="0.2">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c r="AK741" s="83"/>
      <c r="AL741" s="83"/>
    </row>
    <row r="742" spans="3:38" ht="22.5" customHeight="1" x14ac:dyDescent="0.2">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c r="AK742" s="83"/>
      <c r="AL742" s="83"/>
    </row>
    <row r="743" spans="3:38" ht="22.5" customHeight="1" x14ac:dyDescent="0.2">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c r="AK743" s="83"/>
      <c r="AL743" s="83"/>
    </row>
    <row r="744" spans="3:38" ht="22.5" customHeight="1" x14ac:dyDescent="0.2">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c r="AK744" s="83"/>
      <c r="AL744" s="83"/>
    </row>
    <row r="745" spans="3:38" ht="22.5" customHeight="1" x14ac:dyDescent="0.2">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c r="AK745" s="83"/>
      <c r="AL745" s="83"/>
    </row>
    <row r="746" spans="3:38" ht="22.5" customHeight="1" x14ac:dyDescent="0.2">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c r="AK746" s="83"/>
      <c r="AL746" s="83"/>
    </row>
    <row r="747" spans="3:38" ht="22.5" customHeight="1" x14ac:dyDescent="0.2">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c r="AK747" s="83"/>
      <c r="AL747" s="83"/>
    </row>
    <row r="748" spans="3:38" ht="22.5" customHeight="1" x14ac:dyDescent="0.2">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c r="AK748" s="83"/>
      <c r="AL748" s="83"/>
    </row>
    <row r="749" spans="3:38" ht="22.5" customHeight="1" x14ac:dyDescent="0.2">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c r="AK749" s="83"/>
      <c r="AL749" s="83"/>
    </row>
    <row r="750" spans="3:38" ht="22.5" customHeight="1" x14ac:dyDescent="0.2">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c r="AK750" s="83"/>
      <c r="AL750" s="83"/>
    </row>
    <row r="751" spans="3:38" ht="22.5" customHeight="1" x14ac:dyDescent="0.2">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c r="AK751" s="83"/>
      <c r="AL751" s="83"/>
    </row>
    <row r="752" spans="3:38" ht="22.5" customHeight="1" x14ac:dyDescent="0.2">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c r="AK752" s="83"/>
      <c r="AL752" s="83"/>
    </row>
    <row r="753" spans="3:38" ht="22.5" customHeight="1" x14ac:dyDescent="0.2">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c r="AK753" s="83"/>
      <c r="AL753" s="83"/>
    </row>
    <row r="754" spans="3:38" ht="22.5" customHeight="1" x14ac:dyDescent="0.2">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c r="AK754" s="83"/>
      <c r="AL754" s="83"/>
    </row>
    <row r="755" spans="3:38" ht="22.5" customHeight="1" x14ac:dyDescent="0.2">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c r="AK755" s="83"/>
      <c r="AL755" s="83"/>
    </row>
    <row r="756" spans="3:38" ht="22.5" customHeight="1" x14ac:dyDescent="0.2">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c r="AK756" s="83"/>
      <c r="AL756" s="83"/>
    </row>
    <row r="757" spans="3:38" ht="22.5" customHeight="1" x14ac:dyDescent="0.2">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c r="AK757" s="83"/>
      <c r="AL757" s="83"/>
    </row>
    <row r="758" spans="3:38" ht="22.5" customHeight="1" x14ac:dyDescent="0.2">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c r="AK758" s="83"/>
      <c r="AL758" s="83"/>
    </row>
    <row r="759" spans="3:38" ht="22.5" customHeight="1" x14ac:dyDescent="0.2">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c r="AK759" s="83"/>
      <c r="AL759" s="83"/>
    </row>
    <row r="760" spans="3:38" ht="22.5" customHeight="1" x14ac:dyDescent="0.2">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c r="AK760" s="83"/>
      <c r="AL760" s="83"/>
    </row>
    <row r="761" spans="3:38" ht="22.5" customHeight="1" x14ac:dyDescent="0.2">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c r="AK761" s="83"/>
      <c r="AL761" s="83"/>
    </row>
    <row r="762" spans="3:38" ht="22.5" customHeight="1" x14ac:dyDescent="0.2">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c r="AK762" s="83"/>
      <c r="AL762" s="83"/>
    </row>
    <row r="763" spans="3:38" ht="22.5" customHeight="1" x14ac:dyDescent="0.2">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c r="AK763" s="83"/>
      <c r="AL763" s="83"/>
    </row>
    <row r="764" spans="3:38" ht="22.5" customHeight="1" x14ac:dyDescent="0.2">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c r="AK764" s="83"/>
      <c r="AL764" s="83"/>
    </row>
    <row r="765" spans="3:38" ht="22.5" customHeight="1" x14ac:dyDescent="0.2">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c r="AK765" s="83"/>
      <c r="AL765" s="83"/>
    </row>
    <row r="766" spans="3:38" ht="22.5" customHeight="1" x14ac:dyDescent="0.2">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c r="AK766" s="83"/>
      <c r="AL766" s="83"/>
    </row>
    <row r="767" spans="3:38" ht="22.5" customHeight="1" x14ac:dyDescent="0.2">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c r="AK767" s="83"/>
      <c r="AL767" s="83"/>
    </row>
    <row r="768" spans="3:38" ht="22.5" customHeight="1" x14ac:dyDescent="0.2">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c r="AK768" s="83"/>
      <c r="AL768" s="83"/>
    </row>
    <row r="769" spans="3:38" ht="22.5" customHeight="1" x14ac:dyDescent="0.2">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c r="AK769" s="83"/>
      <c r="AL769" s="83"/>
    </row>
    <row r="770" spans="3:38" ht="22.5" customHeight="1" x14ac:dyDescent="0.2">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c r="AK770" s="83"/>
      <c r="AL770" s="83"/>
    </row>
    <row r="771" spans="3:38" ht="22.5" customHeight="1" x14ac:dyDescent="0.2">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c r="AK771" s="83"/>
      <c r="AL771" s="83"/>
    </row>
    <row r="772" spans="3:38" ht="22.5" customHeight="1" x14ac:dyDescent="0.2">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c r="AK772" s="83"/>
      <c r="AL772" s="83"/>
    </row>
    <row r="773" spans="3:38" ht="22.5" customHeight="1" x14ac:dyDescent="0.2">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c r="AK773" s="83"/>
      <c r="AL773" s="83"/>
    </row>
    <row r="774" spans="3:38" ht="22.5" customHeight="1" x14ac:dyDescent="0.2">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c r="AK774" s="83"/>
      <c r="AL774" s="83"/>
    </row>
    <row r="775" spans="3:38" ht="22.5" customHeight="1" x14ac:dyDescent="0.2">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c r="AK775" s="83"/>
      <c r="AL775" s="83"/>
    </row>
    <row r="776" spans="3:38" ht="22.5" customHeight="1" x14ac:dyDescent="0.2">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c r="AK776" s="83"/>
      <c r="AL776" s="83"/>
    </row>
    <row r="777" spans="3:38" ht="22.5" customHeight="1" x14ac:dyDescent="0.2">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c r="AK777" s="83"/>
      <c r="AL777" s="83"/>
    </row>
    <row r="778" spans="3:38" ht="22.5" customHeight="1" x14ac:dyDescent="0.2">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c r="AK778" s="83"/>
      <c r="AL778" s="83"/>
    </row>
    <row r="779" spans="3:38" ht="22.5" customHeight="1" x14ac:dyDescent="0.2">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c r="AK779" s="83"/>
      <c r="AL779" s="83"/>
    </row>
    <row r="780" spans="3:38" ht="22.5" customHeight="1" x14ac:dyDescent="0.2">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c r="AK780" s="83"/>
      <c r="AL780" s="83"/>
    </row>
    <row r="781" spans="3:38" ht="22.5" customHeight="1" x14ac:dyDescent="0.2">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c r="AK781" s="83"/>
      <c r="AL781" s="83"/>
    </row>
    <row r="782" spans="3:38" ht="22.5" customHeight="1" x14ac:dyDescent="0.2">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c r="AK782" s="83"/>
      <c r="AL782" s="83"/>
    </row>
    <row r="783" spans="3:38" ht="22.5" customHeight="1" x14ac:dyDescent="0.2">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c r="AK783" s="83"/>
      <c r="AL783" s="83"/>
    </row>
    <row r="784" spans="3:38" ht="22.5" customHeight="1" x14ac:dyDescent="0.2">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c r="AK784" s="83"/>
      <c r="AL784" s="83"/>
    </row>
    <row r="785" spans="3:38" ht="22.5" customHeight="1" x14ac:dyDescent="0.2">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c r="AK785" s="83"/>
      <c r="AL785" s="83"/>
    </row>
    <row r="786" spans="3:38" ht="22.5" customHeight="1" x14ac:dyDescent="0.2">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c r="AK786" s="83"/>
      <c r="AL786" s="83"/>
    </row>
    <row r="787" spans="3:38" ht="22.5" customHeight="1" x14ac:dyDescent="0.2">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c r="AK787" s="83"/>
      <c r="AL787" s="83"/>
    </row>
    <row r="788" spans="3:38" ht="22.5" customHeight="1" x14ac:dyDescent="0.2">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c r="AK788" s="83"/>
      <c r="AL788" s="83"/>
    </row>
    <row r="789" spans="3:38" ht="22.5" customHeight="1" x14ac:dyDescent="0.2">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c r="AK789" s="83"/>
      <c r="AL789" s="83"/>
    </row>
    <row r="790" spans="3:38" ht="22.5" customHeight="1" x14ac:dyDescent="0.2">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c r="AK790" s="83"/>
      <c r="AL790" s="83"/>
    </row>
    <row r="791" spans="3:38" ht="22.5" customHeight="1" x14ac:dyDescent="0.2">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c r="AK791" s="83"/>
      <c r="AL791" s="83"/>
    </row>
    <row r="792" spans="3:38" ht="22.5" customHeight="1" x14ac:dyDescent="0.2">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c r="AK792" s="83"/>
      <c r="AL792" s="83"/>
    </row>
    <row r="793" spans="3:38" ht="22.5" customHeight="1" x14ac:dyDescent="0.2">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c r="AK793" s="83"/>
      <c r="AL793" s="83"/>
    </row>
    <row r="794" spans="3:38" ht="22.5" customHeight="1" x14ac:dyDescent="0.2">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c r="AK794" s="83"/>
      <c r="AL794" s="83"/>
    </row>
    <row r="795" spans="3:38" ht="22.5" customHeight="1" x14ac:dyDescent="0.2">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c r="AK795" s="83"/>
      <c r="AL795" s="83"/>
    </row>
    <row r="796" spans="3:38" ht="22.5" customHeight="1" x14ac:dyDescent="0.2">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c r="AK796" s="83"/>
      <c r="AL796" s="83"/>
    </row>
    <row r="797" spans="3:38" ht="22.5" customHeight="1" x14ac:dyDescent="0.2">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c r="AK797" s="83"/>
      <c r="AL797" s="83"/>
    </row>
    <row r="798" spans="3:38" ht="22.5" customHeight="1" x14ac:dyDescent="0.2">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c r="AK798" s="83"/>
      <c r="AL798" s="83"/>
    </row>
    <row r="799" spans="3:38" ht="22.5" customHeight="1" x14ac:dyDescent="0.2">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c r="AK799" s="83"/>
      <c r="AL799" s="83"/>
    </row>
    <row r="800" spans="3:38" ht="22.5" customHeight="1" x14ac:dyDescent="0.2">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c r="AK800" s="83"/>
      <c r="AL800" s="83"/>
    </row>
    <row r="801" spans="3:38" ht="22.5" customHeight="1" x14ac:dyDescent="0.2">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c r="AK801" s="83"/>
      <c r="AL801" s="83"/>
    </row>
    <row r="802" spans="3:38" ht="22.5" customHeight="1" x14ac:dyDescent="0.2">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c r="AK802" s="83"/>
      <c r="AL802" s="83"/>
    </row>
    <row r="803" spans="3:38" ht="22.5" customHeight="1" x14ac:dyDescent="0.2">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c r="AK803" s="83"/>
      <c r="AL803" s="83"/>
    </row>
    <row r="804" spans="3:38" ht="22.5" customHeight="1" x14ac:dyDescent="0.2">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c r="AK804" s="83"/>
      <c r="AL804" s="83"/>
    </row>
    <row r="805" spans="3:38" ht="22.5" customHeight="1" x14ac:dyDescent="0.2">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c r="AK805" s="83"/>
      <c r="AL805" s="83"/>
    </row>
    <row r="806" spans="3:38" ht="22.5" customHeight="1" x14ac:dyDescent="0.2">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c r="AK806" s="83"/>
      <c r="AL806" s="83"/>
    </row>
    <row r="807" spans="3:38" ht="22.5" customHeight="1" x14ac:dyDescent="0.2">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c r="AK807" s="83"/>
      <c r="AL807" s="83"/>
    </row>
    <row r="808" spans="3:38" ht="22.5" customHeight="1" x14ac:dyDescent="0.2">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c r="AK808" s="83"/>
      <c r="AL808" s="83"/>
    </row>
    <row r="809" spans="3:38" ht="22.5" customHeight="1" x14ac:dyDescent="0.2">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c r="AK809" s="83"/>
      <c r="AL809" s="83"/>
    </row>
    <row r="810" spans="3:38" ht="22.5" customHeight="1" x14ac:dyDescent="0.2">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c r="AK810" s="83"/>
      <c r="AL810" s="83"/>
    </row>
    <row r="811" spans="3:38" ht="22.5" customHeight="1" x14ac:dyDescent="0.2">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c r="AK811" s="83"/>
      <c r="AL811" s="83"/>
    </row>
    <row r="812" spans="3:38" ht="22.5" customHeight="1" x14ac:dyDescent="0.2">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c r="AK812" s="83"/>
      <c r="AL812" s="83"/>
    </row>
    <row r="813" spans="3:38" ht="22.5" customHeight="1" x14ac:dyDescent="0.2">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c r="AK813" s="83"/>
      <c r="AL813" s="83"/>
    </row>
    <row r="814" spans="3:38" ht="22.5" customHeight="1" x14ac:dyDescent="0.2">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c r="AK814" s="83"/>
      <c r="AL814" s="83"/>
    </row>
    <row r="815" spans="3:38" ht="22.5" customHeight="1" x14ac:dyDescent="0.2">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c r="AK815" s="83"/>
      <c r="AL815" s="83"/>
    </row>
    <row r="816" spans="3:38" ht="22.5" customHeight="1" x14ac:dyDescent="0.2">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c r="AK816" s="83"/>
      <c r="AL816" s="83"/>
    </row>
    <row r="817" spans="3:38" ht="22.5" customHeight="1" x14ac:dyDescent="0.2">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c r="AK817" s="83"/>
      <c r="AL817" s="83"/>
    </row>
    <row r="818" spans="3:38" ht="22.5" customHeight="1" x14ac:dyDescent="0.2">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c r="AK818" s="83"/>
      <c r="AL818" s="83"/>
    </row>
    <row r="819" spans="3:38" ht="22.5" customHeight="1" x14ac:dyDescent="0.2">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c r="AK819" s="83"/>
      <c r="AL819" s="83"/>
    </row>
    <row r="820" spans="3:38" ht="22.5" customHeight="1" x14ac:dyDescent="0.2">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c r="AK820" s="83"/>
      <c r="AL820" s="83"/>
    </row>
    <row r="821" spans="3:38" ht="22.5" customHeight="1" x14ac:dyDescent="0.2">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c r="AK821" s="83"/>
      <c r="AL821" s="83"/>
    </row>
    <row r="822" spans="3:38" ht="22.5" customHeight="1" x14ac:dyDescent="0.2">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c r="AK822" s="83"/>
      <c r="AL822" s="83"/>
    </row>
    <row r="823" spans="3:38" ht="22.5" customHeight="1" x14ac:dyDescent="0.2">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c r="AK823" s="83"/>
      <c r="AL823" s="83"/>
    </row>
    <row r="824" spans="3:38" ht="22.5" customHeight="1" x14ac:dyDescent="0.2">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c r="AK824" s="83"/>
      <c r="AL824" s="83"/>
    </row>
    <row r="825" spans="3:38" ht="22.5" customHeight="1" x14ac:dyDescent="0.2">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c r="AK825" s="83"/>
      <c r="AL825" s="83"/>
    </row>
    <row r="826" spans="3:38" ht="22.5" customHeight="1" x14ac:dyDescent="0.2">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c r="AK826" s="83"/>
      <c r="AL826" s="83"/>
    </row>
    <row r="827" spans="3:38" ht="22.5" customHeight="1" x14ac:dyDescent="0.2">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c r="AK827" s="83"/>
      <c r="AL827" s="83"/>
    </row>
    <row r="828" spans="3:38" ht="22.5" customHeight="1" x14ac:dyDescent="0.2">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c r="AK828" s="83"/>
      <c r="AL828" s="83"/>
    </row>
    <row r="829" spans="3:38" ht="22.5" customHeight="1" x14ac:dyDescent="0.2">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c r="AK829" s="83"/>
      <c r="AL829" s="83"/>
    </row>
    <row r="830" spans="3:38" ht="22.5" customHeight="1" x14ac:dyDescent="0.2">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c r="AK830" s="83"/>
      <c r="AL830" s="83"/>
    </row>
    <row r="831" spans="3:38" ht="22.5" customHeight="1" x14ac:dyDescent="0.2">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c r="AK831" s="83"/>
      <c r="AL831" s="83"/>
    </row>
    <row r="832" spans="3:38" ht="22.5" customHeight="1" x14ac:dyDescent="0.2">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c r="AK832" s="83"/>
      <c r="AL832" s="83"/>
    </row>
    <row r="833" spans="3:38" ht="22.5" customHeight="1" x14ac:dyDescent="0.2">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c r="AK833" s="83"/>
      <c r="AL833" s="83"/>
    </row>
    <row r="834" spans="3:38" ht="22.5" customHeight="1" x14ac:dyDescent="0.2">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c r="AK834" s="83"/>
      <c r="AL834" s="83"/>
    </row>
    <row r="835" spans="3:38" ht="22.5" customHeight="1" x14ac:dyDescent="0.2">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c r="AK835" s="83"/>
      <c r="AL835" s="83"/>
    </row>
    <row r="836" spans="3:38" ht="22.5" customHeight="1" x14ac:dyDescent="0.2">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c r="AK836" s="83"/>
      <c r="AL836" s="83"/>
    </row>
    <row r="837" spans="3:38" ht="22.5" customHeight="1" x14ac:dyDescent="0.2">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c r="AK837" s="83"/>
      <c r="AL837" s="83"/>
    </row>
    <row r="838" spans="3:38" ht="22.5" customHeight="1" x14ac:dyDescent="0.2">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c r="AK838" s="83"/>
      <c r="AL838" s="83"/>
    </row>
    <row r="839" spans="3:38" ht="22.5" customHeight="1" x14ac:dyDescent="0.2">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c r="AK839" s="83"/>
      <c r="AL839" s="83"/>
    </row>
    <row r="840" spans="3:38" ht="22.5" customHeight="1" x14ac:dyDescent="0.2">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c r="AK840" s="83"/>
      <c r="AL840" s="83"/>
    </row>
    <row r="841" spans="3:38" ht="22.5" customHeight="1" x14ac:dyDescent="0.2">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c r="AK841" s="83"/>
      <c r="AL841" s="83"/>
    </row>
    <row r="842" spans="3:38" ht="22.5" customHeight="1" x14ac:dyDescent="0.2">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c r="AK842" s="83"/>
      <c r="AL842" s="83"/>
    </row>
    <row r="843" spans="3:38" ht="22.5" customHeight="1" x14ac:dyDescent="0.2">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c r="AK843" s="83"/>
      <c r="AL843" s="83"/>
    </row>
    <row r="844" spans="3:38" ht="22.5" customHeight="1" x14ac:dyDescent="0.2">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c r="AK844" s="83"/>
      <c r="AL844" s="83"/>
    </row>
    <row r="845" spans="3:38" ht="22.5" customHeight="1" x14ac:dyDescent="0.2">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c r="AK845" s="83"/>
      <c r="AL845" s="83"/>
    </row>
    <row r="846" spans="3:38" ht="22.5" customHeight="1" x14ac:dyDescent="0.2">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c r="AK846" s="83"/>
      <c r="AL846" s="83"/>
    </row>
    <row r="847" spans="3:38" ht="22.5" customHeight="1" x14ac:dyDescent="0.2">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c r="AK847" s="83"/>
      <c r="AL847" s="83"/>
    </row>
    <row r="848" spans="3:38" ht="22.5" customHeight="1" x14ac:dyDescent="0.2">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c r="AK848" s="83"/>
      <c r="AL848" s="83"/>
    </row>
    <row r="849" spans="3:38" ht="22.5" customHeight="1" x14ac:dyDescent="0.2">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c r="AK849" s="83"/>
      <c r="AL849" s="83"/>
    </row>
    <row r="850" spans="3:38" ht="22.5" customHeight="1" x14ac:dyDescent="0.2">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c r="AK850" s="83"/>
      <c r="AL850" s="83"/>
    </row>
    <row r="851" spans="3:38" ht="22.5" customHeight="1" x14ac:dyDescent="0.2">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c r="AK851" s="83"/>
      <c r="AL851" s="83"/>
    </row>
    <row r="852" spans="3:38" ht="22.5" customHeight="1" x14ac:dyDescent="0.2">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c r="AK852" s="83"/>
      <c r="AL852" s="83"/>
    </row>
    <row r="853" spans="3:38" ht="22.5" customHeight="1" x14ac:dyDescent="0.2">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c r="AK853" s="83"/>
      <c r="AL853" s="83"/>
    </row>
    <row r="854" spans="3:38" ht="22.5" customHeight="1" x14ac:dyDescent="0.2">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c r="AK854" s="83"/>
      <c r="AL854" s="83"/>
    </row>
    <row r="855" spans="3:38" ht="22.5" customHeight="1" x14ac:dyDescent="0.2">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c r="AK855" s="83"/>
      <c r="AL855" s="83"/>
    </row>
    <row r="856" spans="3:38" ht="22.5" customHeight="1" x14ac:dyDescent="0.2">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c r="AK856" s="83"/>
      <c r="AL856" s="83"/>
    </row>
    <row r="857" spans="3:38" ht="22.5" customHeight="1" x14ac:dyDescent="0.2">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c r="AK857" s="83"/>
      <c r="AL857" s="83"/>
    </row>
    <row r="858" spans="3:38" ht="22.5" customHeight="1" x14ac:dyDescent="0.2">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c r="AK858" s="83"/>
      <c r="AL858" s="83"/>
    </row>
    <row r="859" spans="3:38" ht="22.5" customHeight="1" x14ac:dyDescent="0.2">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c r="AK859" s="83"/>
      <c r="AL859" s="83"/>
    </row>
    <row r="860" spans="3:38" ht="22.5" customHeight="1" x14ac:dyDescent="0.2">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c r="AK860" s="83"/>
      <c r="AL860" s="83"/>
    </row>
    <row r="861" spans="3:38" ht="22.5" customHeight="1" x14ac:dyDescent="0.2">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c r="AK861" s="83"/>
      <c r="AL861" s="83"/>
    </row>
    <row r="862" spans="3:38" ht="22.5" customHeight="1" x14ac:dyDescent="0.2">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c r="AK862" s="83"/>
      <c r="AL862" s="83"/>
    </row>
    <row r="863" spans="3:38" ht="22.5" customHeight="1" x14ac:dyDescent="0.2">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c r="AK863" s="83"/>
      <c r="AL863" s="83"/>
    </row>
    <row r="864" spans="3:38" ht="22.5" customHeight="1" x14ac:dyDescent="0.2">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c r="AK864" s="83"/>
      <c r="AL864" s="83"/>
    </row>
    <row r="865" spans="3:38" ht="22.5" customHeight="1" x14ac:dyDescent="0.2">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c r="AK865" s="83"/>
      <c r="AL865" s="83"/>
    </row>
    <row r="866" spans="3:38" ht="22.5" customHeight="1" x14ac:dyDescent="0.2">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c r="AK866" s="83"/>
      <c r="AL866" s="83"/>
    </row>
    <row r="867" spans="3:38" ht="22.5" customHeight="1" x14ac:dyDescent="0.2">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c r="AK867" s="83"/>
      <c r="AL867" s="83"/>
    </row>
    <row r="868" spans="3:38" ht="22.5" customHeight="1" x14ac:dyDescent="0.2">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c r="AK868" s="83"/>
      <c r="AL868" s="83"/>
    </row>
    <row r="869" spans="3:38" ht="22.5" customHeight="1" x14ac:dyDescent="0.2">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c r="AK869" s="83"/>
      <c r="AL869" s="83"/>
    </row>
    <row r="870" spans="3:38" ht="22.5" customHeight="1" x14ac:dyDescent="0.2">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c r="AK870" s="83"/>
      <c r="AL870" s="83"/>
    </row>
    <row r="871" spans="3:38" ht="22.5" customHeight="1" x14ac:dyDescent="0.2">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c r="AK871" s="83"/>
      <c r="AL871" s="83"/>
    </row>
    <row r="872" spans="3:38" ht="22.5" customHeight="1" x14ac:dyDescent="0.2">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c r="AK872" s="83"/>
      <c r="AL872" s="83"/>
    </row>
    <row r="873" spans="3:38" ht="22.5" customHeight="1" x14ac:dyDescent="0.2">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c r="AK873" s="83"/>
      <c r="AL873" s="83"/>
    </row>
    <row r="874" spans="3:38" ht="22.5" customHeight="1" x14ac:dyDescent="0.2">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c r="AK874" s="83"/>
      <c r="AL874" s="83"/>
    </row>
    <row r="875" spans="3:38" ht="22.5" customHeight="1" x14ac:dyDescent="0.2">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c r="AK875" s="83"/>
      <c r="AL875" s="83"/>
    </row>
    <row r="876" spans="3:38" ht="22.5" customHeight="1" x14ac:dyDescent="0.2">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c r="AK876" s="83"/>
      <c r="AL876" s="83"/>
    </row>
    <row r="877" spans="3:38" ht="22.5" customHeight="1" x14ac:dyDescent="0.2">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c r="AK877" s="83"/>
      <c r="AL877" s="83"/>
    </row>
    <row r="878" spans="3:38" ht="22.5" customHeight="1" x14ac:dyDescent="0.2">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c r="AK878" s="83"/>
      <c r="AL878" s="83"/>
    </row>
    <row r="879" spans="3:38" ht="22.5" customHeight="1" x14ac:dyDescent="0.2">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c r="AK879" s="83"/>
      <c r="AL879" s="83"/>
    </row>
    <row r="880" spans="3:38" ht="22.5" customHeight="1" x14ac:dyDescent="0.2">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c r="AK880" s="83"/>
      <c r="AL880" s="83"/>
    </row>
    <row r="881" spans="3:38" ht="22.5" customHeight="1" x14ac:dyDescent="0.2">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c r="AK881" s="83"/>
      <c r="AL881" s="83"/>
    </row>
    <row r="882" spans="3:38" ht="22.5" customHeight="1" x14ac:dyDescent="0.2">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c r="AK882" s="83"/>
      <c r="AL882" s="83"/>
    </row>
    <row r="883" spans="3:38" ht="22.5" customHeight="1" x14ac:dyDescent="0.2">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c r="AK883" s="83"/>
      <c r="AL883" s="83"/>
    </row>
    <row r="884" spans="3:38" ht="22.5" customHeight="1" x14ac:dyDescent="0.2">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c r="AK884" s="83"/>
      <c r="AL884" s="83"/>
    </row>
    <row r="885" spans="3:38" ht="22.5" customHeight="1" x14ac:dyDescent="0.2">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c r="AK885" s="83"/>
      <c r="AL885" s="83"/>
    </row>
    <row r="886" spans="3:38" ht="22.5" customHeight="1" x14ac:dyDescent="0.2">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c r="AK886" s="83"/>
      <c r="AL886" s="83"/>
    </row>
    <row r="887" spans="3:38" ht="22.5" customHeight="1" x14ac:dyDescent="0.2">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c r="AK887" s="83"/>
      <c r="AL887" s="83"/>
    </row>
    <row r="888" spans="3:38" ht="22.5" customHeight="1" x14ac:dyDescent="0.2">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c r="AK888" s="83"/>
      <c r="AL888" s="83"/>
    </row>
    <row r="889" spans="3:38" ht="22.5" customHeight="1" x14ac:dyDescent="0.2">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c r="AK889" s="83"/>
      <c r="AL889" s="83"/>
    </row>
    <row r="890" spans="3:38" ht="22.5" customHeight="1" x14ac:dyDescent="0.2">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c r="AK890" s="83"/>
      <c r="AL890" s="83"/>
    </row>
    <row r="891" spans="3:38" ht="22.5" customHeight="1" x14ac:dyDescent="0.2">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c r="AK891" s="83"/>
      <c r="AL891" s="83"/>
    </row>
    <row r="892" spans="3:38" ht="22.5" customHeight="1" x14ac:dyDescent="0.2">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c r="AK892" s="83"/>
      <c r="AL892" s="83"/>
    </row>
    <row r="893" spans="3:38" ht="22.5" customHeight="1" x14ac:dyDescent="0.2">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c r="AK893" s="83"/>
      <c r="AL893" s="83"/>
    </row>
    <row r="894" spans="3:38" ht="22.5" customHeight="1" x14ac:dyDescent="0.2">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c r="AK894" s="83"/>
      <c r="AL894" s="83"/>
    </row>
    <row r="895" spans="3:38" ht="22.5" customHeight="1" x14ac:dyDescent="0.2">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c r="AK895" s="83"/>
      <c r="AL895" s="83"/>
    </row>
    <row r="896" spans="3:38" ht="22.5" customHeight="1" x14ac:dyDescent="0.2">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c r="AK896" s="83"/>
      <c r="AL896" s="83"/>
    </row>
    <row r="897" spans="3:38" ht="22.5" customHeight="1" x14ac:dyDescent="0.2">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c r="AK897" s="83"/>
      <c r="AL897" s="83"/>
    </row>
    <row r="898" spans="3:38" ht="22.5" customHeight="1" x14ac:dyDescent="0.2">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c r="AK898" s="83"/>
      <c r="AL898" s="83"/>
    </row>
    <row r="899" spans="3:38" ht="22.5" customHeight="1" x14ac:dyDescent="0.2">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c r="AK899" s="83"/>
      <c r="AL899" s="83"/>
    </row>
    <row r="900" spans="3:38" ht="22.5" customHeight="1" x14ac:dyDescent="0.2">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c r="AK900" s="83"/>
      <c r="AL900" s="83"/>
    </row>
    <row r="901" spans="3:38" ht="22.5" customHeight="1" x14ac:dyDescent="0.2">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c r="AK901" s="83"/>
      <c r="AL901" s="83"/>
    </row>
    <row r="902" spans="3:38" ht="22.5" customHeight="1" x14ac:dyDescent="0.2">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c r="AK902" s="83"/>
      <c r="AL902" s="83"/>
    </row>
    <row r="903" spans="3:38" ht="22.5" customHeight="1" x14ac:dyDescent="0.2">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c r="AK903" s="83"/>
      <c r="AL903" s="83"/>
    </row>
    <row r="904" spans="3:38" ht="22.5" customHeight="1" x14ac:dyDescent="0.2">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c r="AK904" s="83"/>
      <c r="AL904" s="83"/>
    </row>
    <row r="905" spans="3:38" ht="22.5" customHeight="1" x14ac:dyDescent="0.2">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c r="AK905" s="83"/>
      <c r="AL905" s="83"/>
    </row>
    <row r="906" spans="3:38" ht="22.5" customHeight="1" x14ac:dyDescent="0.2">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c r="AK906" s="83"/>
      <c r="AL906" s="83"/>
    </row>
    <row r="907" spans="3:38" ht="22.5" customHeight="1" x14ac:dyDescent="0.2">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c r="AK907" s="83"/>
      <c r="AL907" s="83"/>
    </row>
    <row r="908" spans="3:38" ht="22.5" customHeight="1" x14ac:dyDescent="0.2">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c r="AK908" s="83"/>
      <c r="AL908" s="83"/>
    </row>
    <row r="909" spans="3:38" ht="22.5" customHeight="1" x14ac:dyDescent="0.2">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c r="AK909" s="83"/>
      <c r="AL909" s="83"/>
    </row>
    <row r="910" spans="3:38" ht="22.5" customHeight="1" x14ac:dyDescent="0.2">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c r="AK910" s="83"/>
      <c r="AL910" s="83"/>
    </row>
    <row r="911" spans="3:38" ht="22.5" customHeight="1" x14ac:dyDescent="0.2">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c r="AK911" s="83"/>
      <c r="AL911" s="83"/>
    </row>
    <row r="912" spans="3:38" ht="22.5" customHeight="1" x14ac:dyDescent="0.2">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c r="AK912" s="83"/>
      <c r="AL912" s="83"/>
    </row>
    <row r="913" spans="3:38" ht="22.5" customHeight="1" x14ac:dyDescent="0.2">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c r="AK913" s="83"/>
      <c r="AL913" s="83"/>
    </row>
    <row r="914" spans="3:38" ht="22.5" customHeight="1" x14ac:dyDescent="0.2">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c r="AK914" s="83"/>
      <c r="AL914" s="83"/>
    </row>
    <row r="915" spans="3:38" ht="22.5" customHeight="1" x14ac:dyDescent="0.2">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c r="AK915" s="83"/>
      <c r="AL915" s="83"/>
    </row>
    <row r="916" spans="3:38" ht="22.5" customHeight="1" x14ac:dyDescent="0.2">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c r="AK916" s="83"/>
      <c r="AL916" s="83"/>
    </row>
    <row r="917" spans="3:38" ht="22.5" customHeight="1" x14ac:dyDescent="0.2">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c r="AK917" s="83"/>
      <c r="AL917" s="83"/>
    </row>
    <row r="918" spans="3:38" ht="22.5" customHeight="1" x14ac:dyDescent="0.2">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c r="AK918" s="83"/>
      <c r="AL918" s="83"/>
    </row>
    <row r="919" spans="3:38" ht="22.5" customHeight="1" x14ac:dyDescent="0.2">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c r="AK919" s="83"/>
      <c r="AL919" s="83"/>
    </row>
    <row r="920" spans="3:38" ht="22.5" customHeight="1" x14ac:dyDescent="0.2">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c r="AK920" s="83"/>
      <c r="AL920" s="83"/>
    </row>
    <row r="921" spans="3:38" ht="22.5" customHeight="1" x14ac:dyDescent="0.2">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c r="AK921" s="83"/>
      <c r="AL921" s="83"/>
    </row>
    <row r="922" spans="3:38" ht="22.5" customHeight="1" x14ac:dyDescent="0.2">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c r="AK922" s="83"/>
      <c r="AL922" s="83"/>
    </row>
    <row r="923" spans="3:38" ht="22.5" customHeight="1" x14ac:dyDescent="0.2">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c r="AK923" s="83"/>
      <c r="AL923" s="83"/>
    </row>
    <row r="924" spans="3:38" ht="22.5" customHeight="1" x14ac:dyDescent="0.2">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c r="AK924" s="83"/>
      <c r="AL924" s="83"/>
    </row>
    <row r="925" spans="3:38" ht="22.5" customHeight="1" x14ac:dyDescent="0.2">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c r="AK925" s="83"/>
      <c r="AL925" s="83"/>
    </row>
    <row r="926" spans="3:38" ht="22.5" customHeight="1" x14ac:dyDescent="0.2">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c r="AK926" s="83"/>
      <c r="AL926" s="83"/>
    </row>
    <row r="927" spans="3:38" ht="22.5" customHeight="1" x14ac:dyDescent="0.2">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c r="AK927" s="83"/>
      <c r="AL927" s="83"/>
    </row>
    <row r="928" spans="3:38" ht="22.5" customHeight="1" x14ac:dyDescent="0.2">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c r="AK928" s="83"/>
      <c r="AL928" s="83"/>
    </row>
    <row r="929" spans="3:38" ht="22.5" customHeight="1" x14ac:dyDescent="0.2">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c r="AK929" s="83"/>
      <c r="AL929" s="83"/>
    </row>
    <row r="930" spans="3:38" ht="22.5" customHeight="1" x14ac:dyDescent="0.2">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c r="AK930" s="83"/>
      <c r="AL930" s="83"/>
    </row>
    <row r="931" spans="3:38" ht="22.5" customHeight="1" x14ac:dyDescent="0.2">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c r="AK931" s="83"/>
      <c r="AL931" s="83"/>
    </row>
    <row r="932" spans="3:38" ht="22.5" customHeight="1" x14ac:dyDescent="0.2">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c r="AK932" s="83"/>
      <c r="AL932" s="83"/>
    </row>
    <row r="933" spans="3:38" ht="22.5" customHeight="1" x14ac:dyDescent="0.2">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c r="AK933" s="83"/>
      <c r="AL933" s="83"/>
    </row>
    <row r="934" spans="3:38" ht="22.5" customHeight="1" x14ac:dyDescent="0.2">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c r="AK934" s="83"/>
      <c r="AL934" s="83"/>
    </row>
    <row r="935" spans="3:38" ht="22.5" customHeight="1" x14ac:dyDescent="0.2">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c r="AK935" s="83"/>
      <c r="AL935" s="83"/>
    </row>
    <row r="936" spans="3:38" ht="22.5" customHeight="1" x14ac:dyDescent="0.2">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c r="AK936" s="83"/>
      <c r="AL936" s="83"/>
    </row>
    <row r="937" spans="3:38" ht="22.5" customHeight="1" x14ac:dyDescent="0.2">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c r="AK937" s="83"/>
      <c r="AL937" s="83"/>
    </row>
    <row r="938" spans="3:38" ht="22.5" customHeight="1" x14ac:dyDescent="0.2">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c r="AK938" s="83"/>
      <c r="AL938" s="83"/>
    </row>
    <row r="939" spans="3:38" ht="22.5" customHeight="1" x14ac:dyDescent="0.2">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c r="AK939" s="83"/>
      <c r="AL939" s="83"/>
    </row>
    <row r="940" spans="3:38" ht="22.5" customHeight="1" x14ac:dyDescent="0.2">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c r="AK940" s="83"/>
      <c r="AL940" s="83"/>
    </row>
    <row r="941" spans="3:38" ht="22.5" customHeight="1" x14ac:dyDescent="0.2">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c r="AK941" s="83"/>
      <c r="AL941" s="83"/>
    </row>
    <row r="942" spans="3:38" ht="22.5" customHeight="1" x14ac:dyDescent="0.2">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c r="AK942" s="83"/>
      <c r="AL942" s="83"/>
    </row>
    <row r="943" spans="3:38" ht="22.5" customHeight="1" x14ac:dyDescent="0.2">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c r="AK943" s="83"/>
      <c r="AL943" s="83"/>
    </row>
    <row r="944" spans="3:38" ht="22.5" customHeight="1" x14ac:dyDescent="0.2">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c r="AK944" s="83"/>
      <c r="AL944" s="83"/>
    </row>
    <row r="945" spans="3:38" ht="22.5" customHeight="1" x14ac:dyDescent="0.2">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c r="AK945" s="83"/>
      <c r="AL945" s="83"/>
    </row>
    <row r="946" spans="3:38" ht="22.5" customHeight="1" x14ac:dyDescent="0.2">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c r="AK946" s="83"/>
      <c r="AL946" s="83"/>
    </row>
    <row r="947" spans="3:38" ht="22.5" customHeight="1" x14ac:dyDescent="0.2">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c r="AK947" s="83"/>
      <c r="AL947" s="83"/>
    </row>
    <row r="948" spans="3:38" ht="22.5" customHeight="1" x14ac:dyDescent="0.2">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c r="AK948" s="83"/>
      <c r="AL948" s="83"/>
    </row>
    <row r="949" spans="3:38" ht="22.5" customHeight="1" x14ac:dyDescent="0.2">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c r="AK949" s="83"/>
      <c r="AL949" s="83"/>
    </row>
    <row r="950" spans="3:38" ht="22.5" customHeight="1" x14ac:dyDescent="0.2">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c r="AK950" s="83"/>
      <c r="AL950" s="83"/>
    </row>
    <row r="951" spans="3:38" ht="22.5" customHeight="1" x14ac:dyDescent="0.2">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c r="AK951" s="83"/>
      <c r="AL951" s="83"/>
    </row>
    <row r="952" spans="3:38" ht="22.5" customHeight="1" x14ac:dyDescent="0.2">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c r="AK952" s="83"/>
      <c r="AL952" s="83"/>
    </row>
    <row r="953" spans="3:38" ht="22.5" customHeight="1" x14ac:dyDescent="0.2">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c r="AK953" s="83"/>
      <c r="AL953" s="83"/>
    </row>
    <row r="954" spans="3:38" ht="22.5" customHeight="1" x14ac:dyDescent="0.2">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c r="AK954" s="83"/>
      <c r="AL954" s="83"/>
    </row>
    <row r="955" spans="3:38" ht="22.5" customHeight="1" x14ac:dyDescent="0.2">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c r="AK955" s="83"/>
      <c r="AL955" s="83"/>
    </row>
    <row r="956" spans="3:38" ht="22.5" customHeight="1" x14ac:dyDescent="0.2">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c r="AK956" s="83"/>
      <c r="AL956" s="83"/>
    </row>
    <row r="957" spans="3:38" ht="22.5" customHeight="1" x14ac:dyDescent="0.2">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c r="AK957" s="83"/>
      <c r="AL957" s="83"/>
    </row>
    <row r="958" spans="3:38" ht="22.5" customHeight="1" x14ac:dyDescent="0.2">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c r="AK958" s="83"/>
      <c r="AL958" s="83"/>
    </row>
    <row r="959" spans="3:38" ht="22.5" customHeight="1" x14ac:dyDescent="0.2">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c r="AK959" s="83"/>
      <c r="AL959" s="83"/>
    </row>
    <row r="960" spans="3:38" ht="22.5" customHeight="1" x14ac:dyDescent="0.2">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c r="AK960" s="83"/>
      <c r="AL960" s="83"/>
    </row>
    <row r="961" spans="3:38" ht="22.5" customHeight="1" x14ac:dyDescent="0.2">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c r="AK961" s="83"/>
      <c r="AL961" s="83"/>
    </row>
    <row r="962" spans="3:38" ht="22.5" customHeight="1" x14ac:dyDescent="0.2">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c r="AK962" s="83"/>
      <c r="AL962" s="83"/>
    </row>
    <row r="963" spans="3:38" ht="22.5" customHeight="1" x14ac:dyDescent="0.2">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c r="AK963" s="83"/>
      <c r="AL963" s="83"/>
    </row>
    <row r="964" spans="3:38" ht="22.5" customHeight="1" x14ac:dyDescent="0.2">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c r="AK964" s="83"/>
      <c r="AL964" s="83"/>
    </row>
    <row r="965" spans="3:38" ht="22.5" customHeight="1" x14ac:dyDescent="0.2">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c r="AK965" s="83"/>
      <c r="AL965" s="83"/>
    </row>
    <row r="966" spans="3:38" ht="22.5" customHeight="1" x14ac:dyDescent="0.2">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c r="AK966" s="83"/>
      <c r="AL966" s="83"/>
    </row>
    <row r="967" spans="3:38" ht="22.5" customHeight="1" x14ac:dyDescent="0.2">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c r="AK967" s="83"/>
      <c r="AL967" s="83"/>
    </row>
    <row r="968" spans="3:38" ht="22.5" customHeight="1" x14ac:dyDescent="0.2">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c r="AK968" s="83"/>
      <c r="AL968" s="83"/>
    </row>
    <row r="969" spans="3:38" ht="22.5" customHeight="1" x14ac:dyDescent="0.2">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c r="AK969" s="83"/>
      <c r="AL969" s="83"/>
    </row>
    <row r="970" spans="3:38" ht="22.5" customHeight="1" x14ac:dyDescent="0.2">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c r="AK970" s="83"/>
      <c r="AL970" s="83"/>
    </row>
    <row r="971" spans="3:38" ht="22.5" customHeight="1" x14ac:dyDescent="0.2">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c r="AK971" s="83"/>
      <c r="AL971" s="83"/>
    </row>
    <row r="972" spans="3:38" ht="22.5" customHeight="1" x14ac:dyDescent="0.2">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c r="AK972" s="83"/>
      <c r="AL972" s="83"/>
    </row>
    <row r="973" spans="3:38" ht="22.5" customHeight="1" x14ac:dyDescent="0.2">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c r="AK973" s="83"/>
      <c r="AL973" s="83"/>
    </row>
    <row r="974" spans="3:38" ht="22.5" customHeight="1" x14ac:dyDescent="0.2">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c r="AK974" s="83"/>
      <c r="AL974" s="83"/>
    </row>
    <row r="975" spans="3:38" ht="22.5" customHeight="1" x14ac:dyDescent="0.2">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c r="AK975" s="83"/>
      <c r="AL975" s="83"/>
    </row>
    <row r="976" spans="3:38" ht="22.5" customHeight="1" x14ac:dyDescent="0.2">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c r="AK976" s="83"/>
      <c r="AL976" s="83"/>
    </row>
    <row r="977" spans="3:38" ht="22.5" customHeight="1" x14ac:dyDescent="0.2">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c r="AK977" s="83"/>
      <c r="AL977" s="83"/>
    </row>
    <row r="978" spans="3:38" ht="22.5" customHeight="1" x14ac:dyDescent="0.2">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c r="AK978" s="83"/>
      <c r="AL978" s="83"/>
    </row>
    <row r="979" spans="3:38" ht="22.5" customHeight="1" x14ac:dyDescent="0.2">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c r="AK979" s="83"/>
      <c r="AL979" s="83"/>
    </row>
    <row r="980" spans="3:38" ht="22.5" customHeight="1" x14ac:dyDescent="0.2">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c r="AK980" s="83"/>
      <c r="AL980" s="83"/>
    </row>
    <row r="981" spans="3:38" ht="22.5" customHeight="1" x14ac:dyDescent="0.2">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c r="AK981" s="83"/>
      <c r="AL981" s="83"/>
    </row>
    <row r="982" spans="3:38" ht="22.5" customHeight="1" x14ac:dyDescent="0.2">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c r="AK982" s="83"/>
      <c r="AL982" s="83"/>
    </row>
    <row r="983" spans="3:38" ht="22.5" customHeight="1" x14ac:dyDescent="0.2">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c r="AK983" s="83"/>
      <c r="AL983" s="83"/>
    </row>
    <row r="984" spans="3:38" ht="22.5" customHeight="1" x14ac:dyDescent="0.2">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c r="AK984" s="83"/>
      <c r="AL984" s="83"/>
    </row>
    <row r="985" spans="3:38" ht="22.5" customHeight="1" x14ac:dyDescent="0.2">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c r="AK985" s="83"/>
      <c r="AL985" s="83"/>
    </row>
    <row r="986" spans="3:38" ht="22.5" customHeight="1" x14ac:dyDescent="0.2">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c r="AK986" s="83"/>
      <c r="AL986" s="83"/>
    </row>
    <row r="987" spans="3:38" ht="22.5" customHeight="1" x14ac:dyDescent="0.2">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c r="AK987" s="83"/>
      <c r="AL987" s="83"/>
    </row>
    <row r="988" spans="3:38" ht="22.5" customHeight="1" x14ac:dyDescent="0.2">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c r="AK988" s="83"/>
      <c r="AL988" s="83"/>
    </row>
    <row r="989" spans="3:38" ht="22.5" customHeight="1" x14ac:dyDescent="0.2">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c r="AK989" s="83"/>
      <c r="AL989" s="83"/>
    </row>
    <row r="990" spans="3:38" ht="22.5" customHeight="1" x14ac:dyDescent="0.2">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c r="AK990" s="83"/>
      <c r="AL990" s="83"/>
    </row>
    <row r="991" spans="3:38" ht="22.5" customHeight="1" x14ac:dyDescent="0.2">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c r="AK991" s="83"/>
      <c r="AL991" s="83"/>
    </row>
    <row r="992" spans="3:38" ht="22.5" customHeight="1" x14ac:dyDescent="0.2">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c r="AK992" s="83"/>
      <c r="AL992" s="83"/>
    </row>
    <row r="993" spans="3:38" ht="22.5" customHeight="1" x14ac:dyDescent="0.2">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c r="AK993" s="83"/>
      <c r="AL993" s="83"/>
    </row>
    <row r="994" spans="3:38" ht="22.5" customHeight="1" x14ac:dyDescent="0.2">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c r="AK994" s="83"/>
      <c r="AL994" s="83"/>
    </row>
    <row r="995" spans="3:38" ht="22.5" customHeight="1" x14ac:dyDescent="0.2">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c r="AK995" s="83"/>
      <c r="AL995" s="83"/>
    </row>
    <row r="996" spans="3:38" ht="22.5" customHeight="1" x14ac:dyDescent="0.2">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8" ht="22.5" customHeight="1" x14ac:dyDescent="0.2">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8" ht="22.5" customHeight="1" x14ac:dyDescent="0.2">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8" ht="22.5" customHeight="1" x14ac:dyDescent="0.2">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8" ht="22.5" customHeight="1" x14ac:dyDescent="0.2">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8" ht="22.5" customHeight="1" x14ac:dyDescent="0.2">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8" ht="22.5" customHeight="1" x14ac:dyDescent="0.2">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baseColWidth="10" defaultColWidth="12.5703125" defaultRowHeight="15.75" customHeight="1" x14ac:dyDescent="0.2"/>
  <cols>
    <col min="1" max="1" width="33.42578125" customWidth="1"/>
    <col min="2" max="4" width="35.140625" customWidth="1"/>
    <col min="5" max="5" width="51" customWidth="1"/>
    <col min="6" max="6" width="19.5703125" customWidth="1"/>
    <col min="7" max="7" width="12.42578125" customWidth="1"/>
    <col min="8" max="8" width="22.85546875" customWidth="1"/>
  </cols>
  <sheetData>
    <row r="1" spans="1:22" ht="22.5" customHeight="1" x14ac:dyDescent="0.2">
      <c r="A1" s="1" t="s">
        <v>0</v>
      </c>
      <c r="B1" s="2" t="s">
        <v>103</v>
      </c>
      <c r="C1" s="2" t="s">
        <v>104</v>
      </c>
      <c r="D1" s="2" t="s">
        <v>105</v>
      </c>
      <c r="E1" s="1" t="s">
        <v>106</v>
      </c>
      <c r="F1" s="1" t="s">
        <v>107</v>
      </c>
      <c r="G1" s="1" t="s">
        <v>108</v>
      </c>
      <c r="H1" s="1" t="s">
        <v>109</v>
      </c>
      <c r="I1" s="83"/>
      <c r="J1" s="83"/>
      <c r="K1" s="83"/>
      <c r="L1" s="83"/>
      <c r="M1" s="83"/>
      <c r="N1" s="83"/>
      <c r="O1" s="83"/>
      <c r="P1" s="83"/>
      <c r="Q1" s="83"/>
      <c r="R1" s="83"/>
      <c r="S1" s="83"/>
      <c r="T1" s="83"/>
      <c r="U1" s="83"/>
      <c r="V1" s="83"/>
    </row>
    <row r="2" spans="1:22" ht="22.5" customHeight="1" x14ac:dyDescent="0.2">
      <c r="A2" s="12" t="s">
        <v>24</v>
      </c>
      <c r="B2" s="14" t="s">
        <v>235</v>
      </c>
      <c r="C2" s="14" t="s">
        <v>236</v>
      </c>
      <c r="D2" s="14" t="s">
        <v>237</v>
      </c>
      <c r="E2" s="88" t="s">
        <v>139</v>
      </c>
      <c r="F2" s="88" t="s">
        <v>130</v>
      </c>
      <c r="G2" s="86">
        <v>31</v>
      </c>
      <c r="H2" s="84"/>
      <c r="I2" s="83"/>
      <c r="J2" s="83"/>
      <c r="K2" s="83"/>
      <c r="L2" s="83"/>
      <c r="M2" s="83"/>
      <c r="N2" s="83"/>
      <c r="O2" s="83"/>
      <c r="P2" s="83"/>
      <c r="Q2" s="83"/>
      <c r="R2" s="83"/>
      <c r="S2" s="83"/>
      <c r="T2" s="83"/>
      <c r="U2" s="83"/>
      <c r="V2" s="83"/>
    </row>
    <row r="3" spans="1:22" ht="22.5" customHeight="1" x14ac:dyDescent="0.2">
      <c r="A3" s="33" t="s">
        <v>27</v>
      </c>
      <c r="B3" s="64" t="s">
        <v>155</v>
      </c>
      <c r="C3" s="64" t="s">
        <v>157</v>
      </c>
      <c r="D3" s="64" t="s">
        <v>129</v>
      </c>
      <c r="E3" s="144" t="s">
        <v>139</v>
      </c>
      <c r="F3" s="144" t="s">
        <v>130</v>
      </c>
      <c r="G3" s="153">
        <v>11</v>
      </c>
      <c r="H3" s="157"/>
      <c r="I3" s="83"/>
      <c r="J3" s="83"/>
      <c r="K3" s="83"/>
      <c r="L3" s="83"/>
      <c r="M3" s="83"/>
      <c r="N3" s="83"/>
      <c r="O3" s="83"/>
      <c r="P3" s="83"/>
      <c r="Q3" s="83"/>
      <c r="R3" s="83"/>
      <c r="S3" s="83"/>
      <c r="T3" s="83"/>
      <c r="U3" s="83"/>
      <c r="V3" s="83"/>
    </row>
    <row r="4" spans="1:22" ht="22.5" customHeight="1" x14ac:dyDescent="0.2">
      <c r="A4" s="41" t="s">
        <v>29</v>
      </c>
      <c r="B4" s="55" t="s">
        <v>155</v>
      </c>
      <c r="C4" s="55" t="s">
        <v>161</v>
      </c>
      <c r="D4" s="55" t="s">
        <v>129</v>
      </c>
      <c r="E4" s="143" t="s">
        <v>139</v>
      </c>
      <c r="F4" s="143" t="s">
        <v>130</v>
      </c>
      <c r="G4" s="152">
        <v>11</v>
      </c>
      <c r="H4" s="156"/>
      <c r="I4" s="83"/>
      <c r="J4" s="83"/>
      <c r="K4" s="83"/>
      <c r="L4" s="83"/>
      <c r="M4" s="83"/>
      <c r="N4" s="83"/>
      <c r="O4" s="83"/>
      <c r="P4" s="83"/>
      <c r="Q4" s="83"/>
      <c r="R4" s="83"/>
      <c r="S4" s="83"/>
      <c r="T4" s="83"/>
      <c r="U4" s="83"/>
      <c r="V4" s="83"/>
    </row>
    <row r="5" spans="1:22" ht="22.5" customHeight="1" x14ac:dyDescent="0.2">
      <c r="A5" s="33" t="s">
        <v>346</v>
      </c>
      <c r="B5" s="64" t="s">
        <v>265</v>
      </c>
      <c r="C5" s="64" t="s">
        <v>266</v>
      </c>
      <c r="D5" s="35"/>
      <c r="E5" s="35" t="s">
        <v>139</v>
      </c>
      <c r="F5" s="35"/>
      <c r="G5" s="35"/>
      <c r="H5" s="157"/>
      <c r="I5" s="83"/>
      <c r="J5" s="83"/>
      <c r="K5" s="83"/>
      <c r="L5" s="83"/>
      <c r="M5" s="83"/>
      <c r="N5" s="83"/>
      <c r="O5" s="83"/>
      <c r="P5" s="83"/>
      <c r="Q5" s="83"/>
      <c r="R5" s="83"/>
      <c r="S5" s="83"/>
      <c r="T5" s="83"/>
      <c r="U5" s="83"/>
      <c r="V5" s="83"/>
    </row>
    <row r="6" spans="1:22" ht="22.5" customHeight="1" x14ac:dyDescent="0.2">
      <c r="A6" s="41" t="s">
        <v>30</v>
      </c>
      <c r="B6" s="42"/>
      <c r="C6" s="55" t="s">
        <v>255</v>
      </c>
      <c r="D6" s="42"/>
      <c r="E6" s="42" t="s">
        <v>139</v>
      </c>
      <c r="F6" s="42"/>
      <c r="G6" s="42"/>
      <c r="H6" s="156"/>
      <c r="I6" s="83"/>
      <c r="J6" s="83"/>
      <c r="K6" s="83"/>
      <c r="L6" s="83"/>
      <c r="M6" s="83"/>
      <c r="N6" s="83"/>
      <c r="O6" s="83"/>
      <c r="P6" s="83"/>
      <c r="Q6" s="83"/>
      <c r="R6" s="83"/>
      <c r="S6" s="83"/>
      <c r="T6" s="83"/>
      <c r="U6" s="83"/>
      <c r="V6" s="83"/>
    </row>
    <row r="7" spans="1:22" ht="22.5" customHeight="1" x14ac:dyDescent="0.2">
      <c r="A7" s="33" t="s">
        <v>32</v>
      </c>
      <c r="B7" s="64" t="s">
        <v>193</v>
      </c>
      <c r="C7" s="64" t="s">
        <v>194</v>
      </c>
      <c r="D7" s="64" t="s">
        <v>195</v>
      </c>
      <c r="E7" s="35" t="s">
        <v>139</v>
      </c>
      <c r="F7" s="35"/>
      <c r="G7" s="35"/>
      <c r="H7" s="157"/>
      <c r="I7" s="83"/>
      <c r="J7" s="83"/>
      <c r="K7" s="83"/>
      <c r="L7" s="83"/>
      <c r="M7" s="83"/>
      <c r="N7" s="83"/>
      <c r="O7" s="83"/>
      <c r="P7" s="83"/>
      <c r="Q7" s="83"/>
      <c r="R7" s="83"/>
      <c r="S7" s="83"/>
      <c r="T7" s="83"/>
      <c r="U7" s="83"/>
      <c r="V7" s="83"/>
    </row>
    <row r="8" spans="1:22" ht="22.5" customHeight="1" x14ac:dyDescent="0.2">
      <c r="A8" s="41" t="s">
        <v>34</v>
      </c>
      <c r="B8" s="55" t="s">
        <v>256</v>
      </c>
      <c r="C8" s="55" t="s">
        <v>258</v>
      </c>
      <c r="D8" s="42"/>
      <c r="E8" s="42" t="s">
        <v>139</v>
      </c>
      <c r="F8" s="42"/>
      <c r="G8" s="42"/>
      <c r="H8" s="156"/>
      <c r="I8" s="83"/>
      <c r="J8" s="83"/>
      <c r="K8" s="83"/>
      <c r="L8" s="83"/>
      <c r="M8" s="83"/>
      <c r="N8" s="83"/>
      <c r="O8" s="83"/>
      <c r="P8" s="83"/>
      <c r="Q8" s="83"/>
      <c r="R8" s="83"/>
      <c r="S8" s="83"/>
      <c r="T8" s="83"/>
      <c r="U8" s="83"/>
      <c r="V8" s="83"/>
    </row>
    <row r="9" spans="1:22" ht="22.5" customHeight="1" x14ac:dyDescent="0.2">
      <c r="A9" s="33" t="s">
        <v>35</v>
      </c>
      <c r="B9" s="64" t="s">
        <v>183</v>
      </c>
      <c r="C9" s="64" t="s">
        <v>184</v>
      </c>
      <c r="D9" s="64" t="s">
        <v>185</v>
      </c>
      <c r="E9" s="35" t="s">
        <v>139</v>
      </c>
      <c r="F9" s="35"/>
      <c r="G9" s="35"/>
      <c r="H9" s="157"/>
      <c r="I9" s="83"/>
      <c r="J9" s="83"/>
      <c r="K9" s="83"/>
      <c r="L9" s="83"/>
      <c r="M9" s="83"/>
      <c r="N9" s="83"/>
      <c r="O9" s="83"/>
      <c r="P9" s="83"/>
      <c r="Q9" s="83"/>
      <c r="R9" s="83"/>
      <c r="S9" s="83"/>
      <c r="T9" s="83"/>
      <c r="U9" s="83"/>
      <c r="V9" s="83"/>
    </row>
    <row r="10" spans="1:22" ht="22.5" customHeight="1" x14ac:dyDescent="0.2">
      <c r="A10" s="41" t="s">
        <v>38</v>
      </c>
      <c r="B10" s="55" t="s">
        <v>232</v>
      </c>
      <c r="C10" s="55" t="s">
        <v>233</v>
      </c>
      <c r="D10" s="55" t="s">
        <v>234</v>
      </c>
      <c r="E10" s="143" t="s">
        <v>139</v>
      </c>
      <c r="F10" s="143" t="s">
        <v>130</v>
      </c>
      <c r="G10" s="152">
        <v>25</v>
      </c>
      <c r="H10" s="156"/>
      <c r="I10" s="83"/>
      <c r="J10" s="83"/>
      <c r="K10" s="83"/>
      <c r="L10" s="83"/>
      <c r="M10" s="83"/>
      <c r="N10" s="83"/>
      <c r="O10" s="83"/>
      <c r="P10" s="83"/>
      <c r="Q10" s="83"/>
      <c r="R10" s="83"/>
      <c r="S10" s="83"/>
      <c r="T10" s="83"/>
      <c r="U10" s="83"/>
      <c r="V10" s="83"/>
    </row>
    <row r="11" spans="1:22" ht="22.5" customHeight="1" x14ac:dyDescent="0.2">
      <c r="A11" s="44" t="s">
        <v>355</v>
      </c>
      <c r="B11" s="62" t="s">
        <v>355</v>
      </c>
      <c r="C11" s="64" t="s">
        <v>356</v>
      </c>
      <c r="D11" s="45"/>
      <c r="E11" s="45"/>
      <c r="F11" s="45"/>
      <c r="G11" s="45"/>
      <c r="H11" s="85"/>
      <c r="I11" s="83"/>
      <c r="J11" s="83"/>
      <c r="K11" s="83"/>
      <c r="L11" s="83"/>
      <c r="M11" s="83"/>
      <c r="N11" s="83"/>
      <c r="O11" s="83"/>
      <c r="P11" s="83"/>
      <c r="Q11" s="83"/>
      <c r="R11" s="83"/>
      <c r="S11" s="83"/>
      <c r="T11" s="83"/>
      <c r="U11" s="83"/>
      <c r="V11" s="83"/>
    </row>
    <row r="12" spans="1:22" ht="22.5" customHeight="1" x14ac:dyDescent="0.2">
      <c r="A12" s="12" t="s">
        <v>40</v>
      </c>
      <c r="B12" s="14" t="s">
        <v>136</v>
      </c>
      <c r="C12" s="14" t="s">
        <v>137</v>
      </c>
      <c r="D12" s="14" t="s">
        <v>138</v>
      </c>
      <c r="E12" s="49" t="s">
        <v>139</v>
      </c>
      <c r="F12" s="49"/>
      <c r="G12" s="49"/>
      <c r="H12" s="84"/>
      <c r="I12" s="83"/>
      <c r="J12" s="83"/>
      <c r="K12" s="83"/>
      <c r="L12" s="83"/>
      <c r="M12" s="83"/>
      <c r="N12" s="83"/>
      <c r="O12" s="83"/>
      <c r="P12" s="83"/>
      <c r="Q12" s="83"/>
      <c r="R12" s="83"/>
      <c r="S12" s="83"/>
      <c r="T12" s="83"/>
      <c r="U12" s="83"/>
      <c r="V12" s="83"/>
    </row>
    <row r="13" spans="1:22" ht="22.5" customHeight="1" x14ac:dyDescent="0.2">
      <c r="A13" s="54" t="s">
        <v>42</v>
      </c>
      <c r="B13" s="131" t="s">
        <v>171</v>
      </c>
      <c r="C13" s="131" t="s">
        <v>170</v>
      </c>
      <c r="D13" s="131" t="s">
        <v>170</v>
      </c>
      <c r="E13" s="35" t="s">
        <v>139</v>
      </c>
      <c r="F13" s="35"/>
      <c r="G13" s="35"/>
      <c r="H13" s="157"/>
      <c r="I13" s="83"/>
      <c r="J13" s="83"/>
      <c r="K13" s="83"/>
      <c r="L13" s="83"/>
      <c r="M13" s="83"/>
      <c r="N13" s="83"/>
      <c r="O13" s="83"/>
      <c r="P13" s="83"/>
      <c r="Q13" s="83"/>
      <c r="R13" s="83"/>
      <c r="S13" s="83"/>
      <c r="T13" s="83"/>
      <c r="U13" s="83"/>
      <c r="V13" s="83"/>
    </row>
    <row r="14" spans="1:22" ht="22.5" customHeight="1" x14ac:dyDescent="0.2">
      <c r="A14" s="41" t="s">
        <v>43</v>
      </c>
      <c r="B14" s="55" t="s">
        <v>119</v>
      </c>
      <c r="C14" s="55" t="s">
        <v>120</v>
      </c>
      <c r="D14" s="55" t="s">
        <v>118</v>
      </c>
      <c r="E14" s="42" t="s">
        <v>113</v>
      </c>
      <c r="F14" s="42"/>
      <c r="G14" s="152">
        <v>36</v>
      </c>
      <c r="H14" s="156"/>
      <c r="I14" s="83"/>
      <c r="J14" s="83"/>
      <c r="K14" s="83"/>
      <c r="L14" s="83"/>
      <c r="M14" s="83"/>
      <c r="N14" s="83"/>
      <c r="O14" s="83"/>
      <c r="P14" s="83"/>
      <c r="Q14" s="83"/>
      <c r="R14" s="83"/>
      <c r="S14" s="83"/>
      <c r="T14" s="83"/>
      <c r="U14" s="83"/>
      <c r="V14" s="83"/>
    </row>
    <row r="15" spans="1:22" ht="22.5" customHeight="1" x14ac:dyDescent="0.2">
      <c r="A15" s="12" t="s">
        <v>45</v>
      </c>
      <c r="B15" s="14" t="s">
        <v>213</v>
      </c>
      <c r="C15" s="64" t="s">
        <v>214</v>
      </c>
      <c r="D15" s="14" t="s">
        <v>215</v>
      </c>
      <c r="E15" s="148" t="s">
        <v>139</v>
      </c>
      <c r="F15" s="144" t="s">
        <v>165</v>
      </c>
      <c r="G15" s="153">
        <v>27</v>
      </c>
      <c r="H15" s="157"/>
      <c r="I15" s="83"/>
      <c r="J15" s="83"/>
      <c r="K15" s="83"/>
      <c r="L15" s="83"/>
      <c r="M15" s="83"/>
      <c r="N15" s="83"/>
      <c r="O15" s="83"/>
      <c r="P15" s="83"/>
      <c r="Q15" s="83"/>
      <c r="R15" s="83"/>
      <c r="S15" s="83"/>
      <c r="T15" s="83"/>
      <c r="U15" s="83"/>
      <c r="V15" s="83"/>
    </row>
    <row r="16" spans="1:22" ht="22.5" customHeight="1" x14ac:dyDescent="0.2">
      <c r="A16" s="41" t="s">
        <v>47</v>
      </c>
      <c r="B16" s="55" t="s">
        <v>226</v>
      </c>
      <c r="C16" s="55" t="s">
        <v>227</v>
      </c>
      <c r="D16" s="55" t="s">
        <v>228</v>
      </c>
      <c r="E16" s="143" t="s">
        <v>139</v>
      </c>
      <c r="F16" s="143" t="s">
        <v>130</v>
      </c>
      <c r="G16" s="152">
        <v>29</v>
      </c>
      <c r="H16" s="156"/>
      <c r="I16" s="83"/>
      <c r="J16" s="83"/>
      <c r="K16" s="83"/>
      <c r="L16" s="83"/>
      <c r="M16" s="83"/>
      <c r="N16" s="83"/>
      <c r="O16" s="83"/>
      <c r="P16" s="83"/>
      <c r="Q16" s="83"/>
      <c r="R16" s="83"/>
      <c r="S16" s="83"/>
      <c r="T16" s="83"/>
      <c r="U16" s="83"/>
      <c r="V16" s="83"/>
    </row>
    <row r="17" spans="1:22" ht="22.5" customHeight="1" x14ac:dyDescent="0.2">
      <c r="A17" s="33" t="s">
        <v>49</v>
      </c>
      <c r="B17" s="35"/>
      <c r="C17" s="64" t="s">
        <v>187</v>
      </c>
      <c r="D17" s="35"/>
      <c r="E17" s="35" t="s">
        <v>139</v>
      </c>
      <c r="F17" s="35"/>
      <c r="G17" s="35"/>
      <c r="H17" s="157"/>
      <c r="I17" s="83"/>
      <c r="J17" s="83"/>
      <c r="K17" s="83"/>
      <c r="L17" s="83"/>
      <c r="M17" s="83"/>
      <c r="N17" s="83"/>
      <c r="O17" s="83"/>
      <c r="P17" s="83"/>
      <c r="Q17" s="83"/>
      <c r="R17" s="83"/>
      <c r="S17" s="83"/>
      <c r="T17" s="83"/>
      <c r="U17" s="83"/>
      <c r="V17" s="83"/>
    </row>
    <row r="18" spans="1:22" ht="22.5" customHeight="1" x14ac:dyDescent="0.2">
      <c r="A18" s="56" t="s">
        <v>48</v>
      </c>
      <c r="B18" s="55" t="s">
        <v>193</v>
      </c>
      <c r="C18" s="132" t="s">
        <v>200</v>
      </c>
      <c r="D18" s="132" t="s">
        <v>201</v>
      </c>
      <c r="E18" s="42" t="s">
        <v>139</v>
      </c>
      <c r="F18" s="42"/>
      <c r="G18" s="42"/>
      <c r="H18" s="156"/>
      <c r="I18" s="83"/>
      <c r="J18" s="83"/>
      <c r="K18" s="83"/>
      <c r="L18" s="83"/>
      <c r="M18" s="83"/>
      <c r="N18" s="83"/>
      <c r="O18" s="83"/>
      <c r="P18" s="83"/>
      <c r="Q18" s="83"/>
      <c r="R18" s="83"/>
      <c r="S18" s="83"/>
      <c r="T18" s="83"/>
      <c r="U18" s="83"/>
      <c r="V18" s="83"/>
    </row>
    <row r="19" spans="1:22" ht="22.5" customHeight="1" x14ac:dyDescent="0.2">
      <c r="A19" s="44" t="s">
        <v>50</v>
      </c>
      <c r="B19" s="52" t="s">
        <v>238</v>
      </c>
      <c r="C19" s="52" t="s">
        <v>239</v>
      </c>
      <c r="D19" s="52" t="s">
        <v>240</v>
      </c>
      <c r="E19" s="89" t="s">
        <v>139</v>
      </c>
      <c r="F19" s="89" t="s">
        <v>130</v>
      </c>
      <c r="G19" s="87">
        <v>26</v>
      </c>
      <c r="H19" s="85"/>
      <c r="I19" s="83"/>
      <c r="J19" s="83"/>
      <c r="K19" s="83"/>
      <c r="L19" s="83"/>
      <c r="M19" s="83"/>
      <c r="N19" s="83"/>
      <c r="O19" s="83"/>
      <c r="P19" s="83"/>
      <c r="Q19" s="83"/>
      <c r="R19" s="83"/>
      <c r="S19" s="83"/>
      <c r="T19" s="83"/>
      <c r="U19" s="83"/>
      <c r="V19" s="83"/>
    </row>
    <row r="20" spans="1:22" ht="22.5" customHeight="1" x14ac:dyDescent="0.2">
      <c r="A20" s="56" t="s">
        <v>51</v>
      </c>
      <c r="B20" s="132" t="s">
        <v>253</v>
      </c>
      <c r="C20" s="132" t="s">
        <v>254</v>
      </c>
      <c r="D20" s="142"/>
      <c r="E20" s="49" t="s">
        <v>139</v>
      </c>
      <c r="F20" s="49"/>
      <c r="G20" s="49"/>
      <c r="H20" s="84"/>
      <c r="I20" s="83"/>
      <c r="J20" s="83"/>
      <c r="K20" s="83"/>
      <c r="L20" s="83"/>
      <c r="M20" s="83"/>
      <c r="N20" s="83"/>
      <c r="O20" s="83"/>
      <c r="P20" s="83"/>
      <c r="Q20" s="83"/>
      <c r="R20" s="83"/>
      <c r="S20" s="83"/>
      <c r="T20" s="83"/>
      <c r="U20" s="83"/>
      <c r="V20" s="83"/>
    </row>
    <row r="21" spans="1:22" ht="22.5" customHeight="1" x14ac:dyDescent="0.2">
      <c r="A21" s="58" t="s">
        <v>52</v>
      </c>
      <c r="B21" s="136" t="s">
        <v>193</v>
      </c>
      <c r="C21" s="136" t="s">
        <v>196</v>
      </c>
      <c r="D21" s="52" t="s">
        <v>197</v>
      </c>
      <c r="E21" s="45" t="s">
        <v>139</v>
      </c>
      <c r="F21" s="45"/>
      <c r="G21" s="45"/>
      <c r="H21" s="85"/>
      <c r="I21" s="83"/>
      <c r="J21" s="83"/>
      <c r="K21" s="83"/>
      <c r="L21" s="83"/>
      <c r="M21" s="83"/>
      <c r="N21" s="83"/>
      <c r="O21" s="83"/>
      <c r="P21" s="83"/>
      <c r="Q21" s="83"/>
      <c r="R21" s="83"/>
      <c r="S21" s="83"/>
      <c r="T21" s="83"/>
      <c r="U21" s="83"/>
      <c r="V21" s="83"/>
    </row>
    <row r="22" spans="1:22" ht="22.5" customHeight="1" x14ac:dyDescent="0.2">
      <c r="A22" s="57" t="s">
        <v>53</v>
      </c>
      <c r="B22" s="129" t="s">
        <v>223</v>
      </c>
      <c r="C22" s="129" t="s">
        <v>224</v>
      </c>
      <c r="D22" s="129" t="s">
        <v>225</v>
      </c>
      <c r="E22" s="145" t="s">
        <v>139</v>
      </c>
      <c r="F22" s="88" t="s">
        <v>165</v>
      </c>
      <c r="G22" s="86">
        <v>29</v>
      </c>
      <c r="H22" s="84"/>
      <c r="I22" s="83"/>
      <c r="J22" s="83"/>
      <c r="K22" s="83"/>
      <c r="L22" s="83"/>
      <c r="M22" s="83"/>
      <c r="N22" s="83"/>
      <c r="O22" s="83"/>
      <c r="P22" s="83"/>
      <c r="Q22" s="83"/>
      <c r="R22" s="83"/>
      <c r="S22" s="83"/>
      <c r="T22" s="83"/>
      <c r="U22" s="83"/>
      <c r="V22" s="83"/>
    </row>
    <row r="23" spans="1:22" ht="22.5" customHeight="1" x14ac:dyDescent="0.2">
      <c r="A23" s="44" t="s">
        <v>54</v>
      </c>
      <c r="B23" s="52" t="s">
        <v>177</v>
      </c>
      <c r="C23" s="52" t="s">
        <v>180</v>
      </c>
      <c r="D23" s="52" t="s">
        <v>179</v>
      </c>
      <c r="E23" s="45" t="s">
        <v>139</v>
      </c>
      <c r="F23" s="45"/>
      <c r="G23" s="45"/>
      <c r="H23" s="85"/>
      <c r="I23" s="83"/>
      <c r="J23" s="83"/>
      <c r="K23" s="83"/>
      <c r="L23" s="83"/>
      <c r="M23" s="83"/>
      <c r="N23" s="83"/>
      <c r="O23" s="83"/>
      <c r="P23" s="83"/>
      <c r="Q23" s="83"/>
      <c r="R23" s="83"/>
      <c r="S23" s="83"/>
      <c r="T23" s="83"/>
      <c r="U23" s="83"/>
      <c r="V23" s="83"/>
    </row>
    <row r="24" spans="1:22" ht="22.5" customHeight="1" x14ac:dyDescent="0.2">
      <c r="A24" s="12" t="s">
        <v>56</v>
      </c>
      <c r="B24" s="14" t="s">
        <v>177</v>
      </c>
      <c r="C24" s="14" t="s">
        <v>181</v>
      </c>
      <c r="D24" s="14" t="s">
        <v>179</v>
      </c>
      <c r="E24" s="49" t="s">
        <v>139</v>
      </c>
      <c r="F24" s="49"/>
      <c r="G24" s="49"/>
      <c r="H24" s="84"/>
      <c r="I24" s="83"/>
      <c r="J24" s="83"/>
      <c r="K24" s="83"/>
      <c r="L24" s="83"/>
      <c r="M24" s="83"/>
      <c r="N24" s="83"/>
      <c r="O24" s="83"/>
      <c r="P24" s="83"/>
      <c r="Q24" s="83"/>
      <c r="R24" s="83"/>
      <c r="S24" s="83"/>
      <c r="T24" s="83"/>
      <c r="U24" s="83"/>
      <c r="V24" s="83"/>
    </row>
    <row r="25" spans="1:22" ht="22.5" customHeight="1" x14ac:dyDescent="0.2">
      <c r="A25" s="60" t="s">
        <v>57</v>
      </c>
      <c r="B25" s="139" t="s">
        <v>177</v>
      </c>
      <c r="C25" s="139" t="s">
        <v>182</v>
      </c>
      <c r="D25" s="139" t="s">
        <v>179</v>
      </c>
      <c r="E25" s="43" t="s">
        <v>139</v>
      </c>
      <c r="F25" s="45"/>
      <c r="G25" s="45"/>
      <c r="H25" s="85"/>
      <c r="I25" s="83"/>
      <c r="J25" s="83"/>
      <c r="K25" s="83"/>
      <c r="L25" s="83"/>
      <c r="M25" s="83"/>
      <c r="N25" s="83"/>
      <c r="O25" s="83"/>
      <c r="P25" s="83"/>
      <c r="Q25" s="83"/>
      <c r="R25" s="83"/>
      <c r="S25" s="83"/>
      <c r="T25" s="83"/>
      <c r="U25" s="83"/>
      <c r="V25" s="83"/>
    </row>
    <row r="26" spans="1:22" ht="22.5" customHeight="1" x14ac:dyDescent="0.2">
      <c r="A26" s="59" t="s">
        <v>58</v>
      </c>
      <c r="B26" s="137" t="s">
        <v>177</v>
      </c>
      <c r="C26" s="137" t="s">
        <v>178</v>
      </c>
      <c r="D26" s="137" t="s">
        <v>179</v>
      </c>
      <c r="E26" s="40" t="s">
        <v>139</v>
      </c>
      <c r="F26" s="49"/>
      <c r="G26" s="49"/>
      <c r="H26" s="84"/>
      <c r="I26" s="83"/>
      <c r="J26" s="83"/>
      <c r="K26" s="83"/>
      <c r="L26" s="83"/>
      <c r="M26" s="83"/>
      <c r="N26" s="83"/>
      <c r="O26" s="83"/>
      <c r="P26" s="83"/>
      <c r="Q26" s="83"/>
      <c r="R26" s="83"/>
      <c r="S26" s="83"/>
      <c r="T26" s="83"/>
      <c r="U26" s="83"/>
      <c r="V26" s="83"/>
    </row>
    <row r="27" spans="1:22" ht="22.5" customHeight="1" x14ac:dyDescent="0.2">
      <c r="A27" s="59" t="s">
        <v>59</v>
      </c>
      <c r="B27" s="137" t="s">
        <v>229</v>
      </c>
      <c r="C27" s="137" t="s">
        <v>230</v>
      </c>
      <c r="D27" s="137" t="s">
        <v>231</v>
      </c>
      <c r="E27" s="148" t="s">
        <v>139</v>
      </c>
      <c r="F27" s="144" t="s">
        <v>130</v>
      </c>
      <c r="G27" s="153">
        <v>24</v>
      </c>
      <c r="H27" s="157"/>
      <c r="I27" s="83"/>
      <c r="J27" s="83"/>
      <c r="K27" s="83"/>
      <c r="L27" s="83"/>
      <c r="M27" s="83"/>
      <c r="N27" s="83"/>
      <c r="O27" s="83"/>
      <c r="P27" s="83"/>
      <c r="Q27" s="83"/>
      <c r="R27" s="83"/>
      <c r="S27" s="83"/>
      <c r="T27" s="83"/>
      <c r="U27" s="83"/>
      <c r="V27" s="83"/>
    </row>
    <row r="28" spans="1:22" ht="22.5" customHeight="1" x14ac:dyDescent="0.2">
      <c r="A28" s="100" t="s">
        <v>61</v>
      </c>
      <c r="B28" s="134"/>
      <c r="C28" s="133" t="s">
        <v>186</v>
      </c>
      <c r="D28" s="134"/>
      <c r="E28" s="43" t="s">
        <v>139</v>
      </c>
      <c r="F28" s="42"/>
      <c r="G28" s="42"/>
      <c r="H28" s="156"/>
      <c r="I28" s="83"/>
      <c r="J28" s="83"/>
      <c r="K28" s="83"/>
      <c r="L28" s="83"/>
      <c r="M28" s="83"/>
      <c r="N28" s="83"/>
      <c r="O28" s="83"/>
      <c r="P28" s="83"/>
      <c r="Q28" s="83"/>
      <c r="R28" s="83"/>
      <c r="S28" s="83"/>
      <c r="T28" s="83"/>
      <c r="U28" s="83"/>
      <c r="V28" s="83"/>
    </row>
    <row r="29" spans="1:22" ht="22.5" customHeight="1" x14ac:dyDescent="0.2">
      <c r="A29" s="54" t="s">
        <v>347</v>
      </c>
      <c r="B29" s="131" t="s">
        <v>348</v>
      </c>
      <c r="C29" s="131" t="s">
        <v>349</v>
      </c>
      <c r="D29" s="141"/>
      <c r="E29" s="45" t="s">
        <v>350</v>
      </c>
      <c r="F29" s="45"/>
      <c r="G29" s="45"/>
      <c r="H29" s="85"/>
      <c r="I29" s="83"/>
      <c r="J29" s="83"/>
      <c r="K29" s="83"/>
      <c r="L29" s="83"/>
      <c r="M29" s="83"/>
      <c r="N29" s="83"/>
      <c r="O29" s="83"/>
      <c r="P29" s="83"/>
      <c r="Q29" s="83"/>
      <c r="R29" s="83"/>
      <c r="S29" s="83"/>
      <c r="T29" s="83"/>
      <c r="U29" s="83"/>
      <c r="V29" s="83"/>
    </row>
    <row r="30" spans="1:22" ht="22.5" customHeight="1" x14ac:dyDescent="0.2">
      <c r="A30" s="59" t="s">
        <v>62</v>
      </c>
      <c r="B30" s="137" t="s">
        <v>127</v>
      </c>
      <c r="C30" s="137" t="s">
        <v>128</v>
      </c>
      <c r="D30" s="137" t="s">
        <v>129</v>
      </c>
      <c r="E30" s="148"/>
      <c r="F30" s="88" t="s">
        <v>130</v>
      </c>
      <c r="G30" s="86">
        <v>12</v>
      </c>
      <c r="H30" s="84"/>
      <c r="I30" s="83"/>
      <c r="J30" s="83"/>
      <c r="K30" s="83"/>
      <c r="L30" s="83"/>
      <c r="M30" s="83"/>
      <c r="N30" s="83"/>
      <c r="O30" s="83"/>
      <c r="P30" s="83"/>
      <c r="Q30" s="83"/>
      <c r="R30" s="83"/>
      <c r="S30" s="83"/>
      <c r="T30" s="83"/>
      <c r="U30" s="83"/>
      <c r="V30" s="83"/>
    </row>
    <row r="31" spans="1:22" ht="22.5" customHeight="1" x14ac:dyDescent="0.2">
      <c r="A31" s="44" t="s">
        <v>62</v>
      </c>
      <c r="B31" s="52" t="s">
        <v>206</v>
      </c>
      <c r="C31" s="52" t="s">
        <v>128</v>
      </c>
      <c r="D31" s="52" t="s">
        <v>129</v>
      </c>
      <c r="E31" s="89" t="s">
        <v>139</v>
      </c>
      <c r="F31" s="89" t="s">
        <v>130</v>
      </c>
      <c r="G31" s="87">
        <v>13</v>
      </c>
      <c r="H31" s="85"/>
      <c r="I31" s="83"/>
      <c r="J31" s="83"/>
      <c r="K31" s="83"/>
      <c r="L31" s="83"/>
      <c r="M31" s="83"/>
      <c r="N31" s="83"/>
      <c r="O31" s="83"/>
      <c r="P31" s="83"/>
      <c r="Q31" s="83"/>
      <c r="R31" s="83"/>
      <c r="S31" s="83"/>
      <c r="T31" s="83"/>
      <c r="U31" s="83"/>
      <c r="V31" s="83"/>
    </row>
    <row r="32" spans="1:22" ht="22.5" customHeight="1" x14ac:dyDescent="0.2">
      <c r="A32" s="12" t="s">
        <v>63</v>
      </c>
      <c r="B32" s="14" t="s">
        <v>116</v>
      </c>
      <c r="C32" s="14" t="s">
        <v>117</v>
      </c>
      <c r="D32" s="14" t="s">
        <v>118</v>
      </c>
      <c r="E32" s="49" t="s">
        <v>113</v>
      </c>
      <c r="F32" s="49"/>
      <c r="G32" s="86">
        <v>35</v>
      </c>
      <c r="H32" s="84"/>
      <c r="I32" s="83"/>
      <c r="J32" s="83"/>
      <c r="K32" s="83"/>
      <c r="L32" s="83"/>
      <c r="M32" s="83"/>
      <c r="N32" s="83"/>
      <c r="O32" s="83"/>
      <c r="P32" s="83"/>
      <c r="Q32" s="83"/>
      <c r="R32" s="83"/>
      <c r="S32" s="83"/>
      <c r="T32" s="83"/>
      <c r="U32" s="83"/>
      <c r="V32" s="83"/>
    </row>
    <row r="33" spans="1:22" ht="22.5" customHeight="1" x14ac:dyDescent="0.2">
      <c r="A33" s="33" t="s">
        <v>64</v>
      </c>
      <c r="B33" s="64" t="s">
        <v>147</v>
      </c>
      <c r="C33" s="64" t="s">
        <v>148</v>
      </c>
      <c r="D33" s="35"/>
      <c r="E33" s="35"/>
      <c r="F33" s="35"/>
      <c r="G33" s="35"/>
      <c r="H33" s="157"/>
      <c r="I33" s="83"/>
      <c r="J33" s="83"/>
      <c r="K33" s="83"/>
      <c r="L33" s="83"/>
      <c r="M33" s="83"/>
      <c r="N33" s="83"/>
      <c r="O33" s="83"/>
      <c r="P33" s="83"/>
      <c r="Q33" s="83"/>
      <c r="R33" s="83"/>
      <c r="S33" s="83"/>
      <c r="T33" s="83"/>
      <c r="U33" s="83"/>
      <c r="V33" s="83"/>
    </row>
    <row r="34" spans="1:22" ht="22.5" customHeight="1" x14ac:dyDescent="0.2">
      <c r="A34" s="56" t="s">
        <v>65</v>
      </c>
      <c r="B34" s="132" t="s">
        <v>192</v>
      </c>
      <c r="C34" s="132" t="s">
        <v>191</v>
      </c>
      <c r="D34" s="142"/>
      <c r="E34" s="42" t="s">
        <v>139</v>
      </c>
      <c r="F34" s="42"/>
      <c r="G34" s="42"/>
      <c r="H34" s="156"/>
      <c r="I34" s="83"/>
      <c r="J34" s="83"/>
      <c r="K34" s="83"/>
      <c r="L34" s="83"/>
      <c r="M34" s="83"/>
      <c r="N34" s="83"/>
      <c r="O34" s="83"/>
      <c r="P34" s="83"/>
      <c r="Q34" s="83"/>
      <c r="R34" s="83"/>
      <c r="S34" s="83"/>
      <c r="T34" s="83"/>
      <c r="U34" s="83"/>
      <c r="V34" s="83"/>
    </row>
    <row r="35" spans="1:22" ht="22.5" customHeight="1" x14ac:dyDescent="0.2">
      <c r="A35" s="33" t="s">
        <v>66</v>
      </c>
      <c r="B35" s="64" t="s">
        <v>241</v>
      </c>
      <c r="C35" s="64" t="s">
        <v>242</v>
      </c>
      <c r="D35" s="64" t="s">
        <v>243</v>
      </c>
      <c r="E35" s="144" t="s">
        <v>139</v>
      </c>
      <c r="F35" s="144" t="s">
        <v>130</v>
      </c>
      <c r="G35" s="153">
        <v>27</v>
      </c>
      <c r="H35" s="157"/>
      <c r="I35" s="83"/>
      <c r="J35" s="83"/>
      <c r="K35" s="83"/>
      <c r="L35" s="83"/>
      <c r="M35" s="83"/>
      <c r="N35" s="83"/>
      <c r="O35" s="83"/>
      <c r="P35" s="83"/>
      <c r="Q35" s="83"/>
      <c r="R35" s="83"/>
      <c r="S35" s="83"/>
      <c r="T35" s="83"/>
      <c r="U35" s="83"/>
      <c r="V35" s="83"/>
    </row>
    <row r="36" spans="1:22" ht="22.5" customHeight="1" x14ac:dyDescent="0.2">
      <c r="A36" s="12" t="s">
        <v>67</v>
      </c>
      <c r="B36" s="14" t="s">
        <v>248</v>
      </c>
      <c r="C36" s="14" t="s">
        <v>249</v>
      </c>
      <c r="D36" s="49"/>
      <c r="E36" s="88" t="s">
        <v>139</v>
      </c>
      <c r="F36" s="88" t="s">
        <v>130</v>
      </c>
      <c r="G36" s="86">
        <v>32</v>
      </c>
      <c r="H36" s="84"/>
      <c r="I36" s="83"/>
      <c r="J36" s="83"/>
      <c r="K36" s="83"/>
      <c r="L36" s="83"/>
      <c r="M36" s="83"/>
      <c r="N36" s="83"/>
      <c r="O36" s="83"/>
      <c r="P36" s="83"/>
      <c r="Q36" s="83"/>
      <c r="R36" s="83"/>
      <c r="S36" s="83"/>
      <c r="T36" s="83"/>
      <c r="U36" s="83"/>
      <c r="V36" s="83"/>
    </row>
    <row r="37" spans="1:22" ht="22.5" customHeight="1" x14ac:dyDescent="0.2">
      <c r="A37" s="44" t="s">
        <v>353</v>
      </c>
      <c r="B37" s="52" t="s">
        <v>262</v>
      </c>
      <c r="C37" s="52" t="s">
        <v>263</v>
      </c>
      <c r="D37" s="52" t="s">
        <v>264</v>
      </c>
      <c r="E37" s="45" t="s">
        <v>139</v>
      </c>
      <c r="F37" s="45"/>
      <c r="G37" s="45"/>
      <c r="H37" s="85"/>
      <c r="I37" s="83"/>
      <c r="J37" s="83"/>
      <c r="K37" s="83"/>
      <c r="L37" s="83"/>
      <c r="M37" s="83"/>
      <c r="N37" s="83"/>
      <c r="O37" s="83"/>
      <c r="P37" s="83"/>
      <c r="Q37" s="83"/>
      <c r="R37" s="83"/>
      <c r="S37" s="83"/>
      <c r="T37" s="83"/>
      <c r="U37" s="83"/>
      <c r="V37" s="83"/>
    </row>
    <row r="38" spans="1:22" ht="22.5" customHeight="1" x14ac:dyDescent="0.2">
      <c r="A38" s="41" t="s">
        <v>69</v>
      </c>
      <c r="B38" s="55" t="s">
        <v>131</v>
      </c>
      <c r="C38" s="55" t="s">
        <v>132</v>
      </c>
      <c r="D38" s="55" t="s">
        <v>133</v>
      </c>
      <c r="E38" s="143"/>
      <c r="F38" s="143" t="s">
        <v>130</v>
      </c>
      <c r="G38" s="152">
        <v>12</v>
      </c>
      <c r="H38" s="156"/>
      <c r="I38" s="83"/>
      <c r="J38" s="83"/>
      <c r="K38" s="83"/>
      <c r="L38" s="83"/>
      <c r="M38" s="83"/>
      <c r="N38" s="83"/>
      <c r="O38" s="83"/>
      <c r="P38" s="83"/>
      <c r="Q38" s="83"/>
      <c r="R38" s="83"/>
      <c r="S38" s="83"/>
      <c r="T38" s="83"/>
      <c r="U38" s="83"/>
      <c r="V38" s="83"/>
    </row>
    <row r="39" spans="1:22" ht="22.5" customHeight="1" x14ac:dyDescent="0.2">
      <c r="A39" s="33" t="s">
        <v>69</v>
      </c>
      <c r="B39" s="64" t="s">
        <v>207</v>
      </c>
      <c r="C39" s="64" t="s">
        <v>132</v>
      </c>
      <c r="D39" s="64" t="s">
        <v>133</v>
      </c>
      <c r="E39" s="144" t="s">
        <v>139</v>
      </c>
      <c r="F39" s="144" t="s">
        <v>130</v>
      </c>
      <c r="G39" s="153">
        <v>13</v>
      </c>
      <c r="H39" s="157"/>
      <c r="I39" s="83"/>
      <c r="J39" s="83"/>
      <c r="K39" s="83"/>
      <c r="L39" s="83"/>
      <c r="M39" s="83"/>
      <c r="N39" s="83"/>
      <c r="O39" s="83"/>
      <c r="P39" s="83"/>
      <c r="Q39" s="83"/>
      <c r="R39" s="83"/>
      <c r="S39" s="83"/>
      <c r="T39" s="83"/>
      <c r="U39" s="83"/>
      <c r="V39" s="83"/>
    </row>
    <row r="40" spans="1:22" ht="22.5" customHeight="1" x14ac:dyDescent="0.2">
      <c r="A40" s="100" t="s">
        <v>70</v>
      </c>
      <c r="B40" s="133" t="s">
        <v>250</v>
      </c>
      <c r="C40" s="133" t="s">
        <v>251</v>
      </c>
      <c r="D40" s="133" t="s">
        <v>252</v>
      </c>
      <c r="E40" s="43" t="s">
        <v>139</v>
      </c>
      <c r="F40" s="42"/>
      <c r="G40" s="152">
        <v>37</v>
      </c>
      <c r="H40" s="156"/>
      <c r="I40" s="83"/>
      <c r="J40" s="83"/>
      <c r="K40" s="83"/>
      <c r="L40" s="83"/>
      <c r="M40" s="83"/>
      <c r="N40" s="83"/>
      <c r="O40" s="83"/>
      <c r="P40" s="83"/>
      <c r="Q40" s="83"/>
      <c r="R40" s="83"/>
      <c r="S40" s="83"/>
      <c r="T40" s="83"/>
      <c r="U40" s="83"/>
      <c r="V40" s="83"/>
    </row>
    <row r="41" spans="1:22" ht="22.5" customHeight="1" x14ac:dyDescent="0.2">
      <c r="A41" s="61" t="s">
        <v>71</v>
      </c>
      <c r="B41" s="140" t="s">
        <v>259</v>
      </c>
      <c r="C41" s="140" t="s">
        <v>260</v>
      </c>
      <c r="D41" s="140" t="s">
        <v>261</v>
      </c>
      <c r="E41" s="40" t="s">
        <v>139</v>
      </c>
      <c r="F41" s="35"/>
      <c r="G41" s="35"/>
      <c r="H41" s="157"/>
      <c r="I41" s="83"/>
      <c r="J41" s="83"/>
      <c r="K41" s="83"/>
      <c r="L41" s="83"/>
      <c r="M41" s="83"/>
      <c r="N41" s="83"/>
      <c r="O41" s="83"/>
      <c r="P41" s="83"/>
      <c r="Q41" s="83"/>
      <c r="R41" s="83"/>
      <c r="S41" s="83"/>
      <c r="T41" s="83"/>
      <c r="U41" s="83"/>
      <c r="V41" s="83"/>
    </row>
    <row r="42" spans="1:22" ht="22.5" customHeight="1" x14ac:dyDescent="0.2">
      <c r="A42" s="127" t="s">
        <v>72</v>
      </c>
      <c r="B42" s="32" t="s">
        <v>143</v>
      </c>
      <c r="C42" s="32" t="s">
        <v>144</v>
      </c>
      <c r="D42" s="40"/>
      <c r="E42" s="40"/>
      <c r="F42" s="40"/>
      <c r="G42" s="40"/>
      <c r="H42" s="158"/>
      <c r="I42" s="83"/>
      <c r="J42" s="83"/>
      <c r="K42" s="83"/>
      <c r="L42" s="83"/>
      <c r="M42" s="83"/>
      <c r="N42" s="83"/>
      <c r="O42" s="83"/>
      <c r="P42" s="83"/>
      <c r="Q42" s="83"/>
      <c r="R42" s="83"/>
      <c r="S42" s="83"/>
      <c r="T42" s="83"/>
      <c r="U42" s="83"/>
      <c r="V42" s="83"/>
    </row>
    <row r="43" spans="1:22" ht="22.5" customHeight="1" x14ac:dyDescent="0.2">
      <c r="A43" s="56" t="s">
        <v>73</v>
      </c>
      <c r="B43" s="132" t="s">
        <v>190</v>
      </c>
      <c r="C43" s="132" t="s">
        <v>191</v>
      </c>
      <c r="D43" s="142"/>
      <c r="E43" s="49"/>
      <c r="F43" s="49"/>
      <c r="G43" s="49"/>
      <c r="H43" s="84"/>
      <c r="I43" s="83"/>
      <c r="J43" s="83"/>
      <c r="K43" s="83"/>
      <c r="L43" s="83"/>
      <c r="M43" s="83"/>
      <c r="N43" s="83"/>
      <c r="O43" s="83"/>
      <c r="P43" s="83"/>
      <c r="Q43" s="83"/>
      <c r="R43" s="83"/>
      <c r="S43" s="83"/>
      <c r="T43" s="83"/>
      <c r="U43" s="83"/>
      <c r="V43" s="83"/>
    </row>
    <row r="44" spans="1:22" ht="22.5" customHeight="1" x14ac:dyDescent="0.2">
      <c r="A44" s="59" t="s">
        <v>74</v>
      </c>
      <c r="B44" s="137" t="s">
        <v>193</v>
      </c>
      <c r="C44" s="137" t="s">
        <v>198</v>
      </c>
      <c r="D44" s="64" t="s">
        <v>199</v>
      </c>
      <c r="E44" s="35" t="s">
        <v>139</v>
      </c>
      <c r="F44" s="35"/>
      <c r="G44" s="153">
        <v>33</v>
      </c>
      <c r="H44" s="157"/>
      <c r="I44" s="83"/>
      <c r="J44" s="83"/>
      <c r="K44" s="83"/>
      <c r="L44" s="83"/>
      <c r="M44" s="83"/>
      <c r="N44" s="83"/>
      <c r="O44" s="83"/>
      <c r="P44" s="83"/>
      <c r="Q44" s="83"/>
      <c r="R44" s="83"/>
      <c r="S44" s="83"/>
      <c r="T44" s="83"/>
      <c r="U44" s="83"/>
      <c r="V44" s="83"/>
    </row>
    <row r="45" spans="1:22" ht="22.5" customHeight="1" x14ac:dyDescent="0.2">
      <c r="A45" s="12" t="s">
        <v>75</v>
      </c>
      <c r="B45" s="14" t="s">
        <v>256</v>
      </c>
      <c r="C45" s="14" t="s">
        <v>257</v>
      </c>
      <c r="D45" s="49"/>
      <c r="E45" s="49" t="s">
        <v>139</v>
      </c>
      <c r="F45" s="49"/>
      <c r="G45" s="49"/>
      <c r="H45" s="84"/>
      <c r="I45" s="83"/>
      <c r="J45" s="83"/>
      <c r="K45" s="83"/>
      <c r="L45" s="83"/>
      <c r="M45" s="83"/>
      <c r="N45" s="83"/>
      <c r="O45" s="83"/>
      <c r="P45" s="83"/>
      <c r="Q45" s="83"/>
      <c r="R45" s="83"/>
      <c r="S45" s="83"/>
      <c r="T45" s="83"/>
      <c r="U45" s="83"/>
      <c r="V45" s="83"/>
    </row>
    <row r="46" spans="1:22" ht="22.5" customHeight="1" x14ac:dyDescent="0.2">
      <c r="A46" s="61" t="s">
        <v>77</v>
      </c>
      <c r="B46" s="64" t="s">
        <v>216</v>
      </c>
      <c r="C46" s="140" t="s">
        <v>219</v>
      </c>
      <c r="D46" s="140" t="s">
        <v>218</v>
      </c>
      <c r="E46" s="148" t="s">
        <v>139</v>
      </c>
      <c r="F46" s="144" t="s">
        <v>165</v>
      </c>
      <c r="G46" s="153">
        <v>24</v>
      </c>
      <c r="H46" s="157"/>
      <c r="I46" s="83"/>
      <c r="J46" s="83"/>
      <c r="K46" s="83"/>
      <c r="L46" s="83"/>
      <c r="M46" s="83"/>
      <c r="N46" s="83"/>
      <c r="O46" s="83"/>
      <c r="P46" s="83"/>
      <c r="Q46" s="83"/>
      <c r="R46" s="83"/>
      <c r="S46" s="83"/>
      <c r="T46" s="83"/>
      <c r="U46" s="83"/>
      <c r="V46" s="83"/>
    </row>
    <row r="47" spans="1:22" ht="22.5" customHeight="1" x14ac:dyDescent="0.2">
      <c r="A47" s="57" t="s">
        <v>76</v>
      </c>
      <c r="B47" s="129" t="s">
        <v>220</v>
      </c>
      <c r="C47" s="129" t="s">
        <v>221</v>
      </c>
      <c r="D47" s="129" t="s">
        <v>222</v>
      </c>
      <c r="E47" s="151" t="s">
        <v>139</v>
      </c>
      <c r="F47" s="143" t="s">
        <v>165</v>
      </c>
      <c r="G47" s="152">
        <v>26</v>
      </c>
      <c r="H47" s="156"/>
      <c r="I47" s="83"/>
      <c r="J47" s="83"/>
      <c r="K47" s="83"/>
      <c r="L47" s="83"/>
      <c r="M47" s="83"/>
      <c r="N47" s="83"/>
      <c r="O47" s="83"/>
      <c r="P47" s="83"/>
      <c r="Q47" s="83"/>
      <c r="R47" s="83"/>
      <c r="S47" s="83"/>
      <c r="T47" s="83"/>
      <c r="U47" s="83"/>
      <c r="V47" s="83"/>
    </row>
    <row r="48" spans="1:22" ht="22.5" customHeight="1" x14ac:dyDescent="0.2">
      <c r="A48" s="58" t="s">
        <v>78</v>
      </c>
      <c r="B48" s="136" t="s">
        <v>210</v>
      </c>
      <c r="C48" s="136" t="s">
        <v>211</v>
      </c>
      <c r="D48" s="136" t="s">
        <v>212</v>
      </c>
      <c r="E48" s="150" t="s">
        <v>139</v>
      </c>
      <c r="F48" s="89" t="s">
        <v>165</v>
      </c>
      <c r="G48" s="87">
        <v>30</v>
      </c>
      <c r="H48" s="85"/>
      <c r="I48" s="83"/>
      <c r="J48" s="83"/>
      <c r="K48" s="83"/>
      <c r="L48" s="83"/>
      <c r="M48" s="83"/>
      <c r="N48" s="83"/>
      <c r="O48" s="83"/>
      <c r="P48" s="83"/>
      <c r="Q48" s="83"/>
      <c r="R48" s="83"/>
      <c r="S48" s="83"/>
      <c r="T48" s="83"/>
      <c r="U48" s="83"/>
      <c r="V48" s="83"/>
    </row>
    <row r="49" spans="1:22" ht="22.5" customHeight="1" x14ac:dyDescent="0.2">
      <c r="A49" s="12" t="s">
        <v>79</v>
      </c>
      <c r="B49" s="14" t="s">
        <v>145</v>
      </c>
      <c r="C49" s="55" t="s">
        <v>146</v>
      </c>
      <c r="D49" s="49"/>
      <c r="E49" s="42"/>
      <c r="F49" s="42"/>
      <c r="G49" s="42"/>
      <c r="H49" s="156"/>
      <c r="I49" s="83"/>
      <c r="J49" s="83"/>
      <c r="K49" s="83"/>
      <c r="L49" s="83"/>
      <c r="M49" s="83"/>
      <c r="N49" s="83"/>
      <c r="O49" s="83"/>
      <c r="P49" s="83"/>
      <c r="Q49" s="83"/>
      <c r="R49" s="83"/>
      <c r="S49" s="83"/>
      <c r="T49" s="83"/>
      <c r="U49" s="83"/>
      <c r="V49" s="83"/>
    </row>
    <row r="50" spans="1:22" ht="22.5" customHeight="1" x14ac:dyDescent="0.2">
      <c r="A50" s="33" t="s">
        <v>80</v>
      </c>
      <c r="B50" s="64" t="s">
        <v>110</v>
      </c>
      <c r="C50" s="64" t="s">
        <v>111</v>
      </c>
      <c r="D50" s="64" t="s">
        <v>112</v>
      </c>
      <c r="E50" s="35" t="s">
        <v>113</v>
      </c>
      <c r="F50" s="35"/>
      <c r="G50" s="35"/>
      <c r="H50" s="157"/>
      <c r="I50" s="83"/>
      <c r="J50" s="83"/>
      <c r="K50" s="83"/>
      <c r="L50" s="83"/>
      <c r="M50" s="83"/>
      <c r="N50" s="83"/>
      <c r="O50" s="83"/>
      <c r="P50" s="83"/>
      <c r="Q50" s="83"/>
      <c r="R50" s="83"/>
      <c r="S50" s="83"/>
      <c r="T50" s="83"/>
      <c r="U50" s="83"/>
      <c r="V50" s="83"/>
    </row>
    <row r="51" spans="1:22" ht="22.5" customHeight="1" x14ac:dyDescent="0.2">
      <c r="A51" s="41" t="s">
        <v>81</v>
      </c>
      <c r="B51" s="55" t="s">
        <v>158</v>
      </c>
      <c r="C51" s="55" t="s">
        <v>159</v>
      </c>
      <c r="D51" s="55" t="s">
        <v>133</v>
      </c>
      <c r="E51" s="143"/>
      <c r="F51" s="143" t="s">
        <v>130</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x14ac:dyDescent="0.2">
      <c r="A52" s="59" t="s">
        <v>82</v>
      </c>
      <c r="B52" s="137" t="s">
        <v>158</v>
      </c>
      <c r="C52" s="137" t="s">
        <v>132</v>
      </c>
      <c r="D52" s="137" t="s">
        <v>133</v>
      </c>
      <c r="E52" s="148"/>
      <c r="F52" s="144" t="s">
        <v>130</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x14ac:dyDescent="0.2">
      <c r="A53" s="41" t="s">
        <v>354</v>
      </c>
      <c r="B53" s="34" t="s">
        <v>352</v>
      </c>
      <c r="C53" s="14" t="s">
        <v>263</v>
      </c>
      <c r="D53" s="42"/>
      <c r="E53" s="42" t="s">
        <v>139</v>
      </c>
      <c r="F53" s="42" t="s">
        <v>139</v>
      </c>
      <c r="G53" s="42" t="s">
        <v>139</v>
      </c>
      <c r="H53" s="156" t="s">
        <v>139</v>
      </c>
      <c r="I53" s="83"/>
      <c r="J53" s="83"/>
      <c r="K53" s="83"/>
      <c r="L53" s="83"/>
      <c r="M53" s="83"/>
      <c r="N53" s="83"/>
      <c r="O53" s="83"/>
      <c r="P53" s="83"/>
      <c r="Q53" s="83"/>
      <c r="R53" s="83"/>
      <c r="S53" s="83"/>
      <c r="T53" s="83"/>
      <c r="U53" s="83"/>
      <c r="V53" s="83"/>
    </row>
    <row r="54" spans="1:22" ht="22.5" customHeight="1" x14ac:dyDescent="0.2">
      <c r="A54" s="33" t="s">
        <v>83</v>
      </c>
      <c r="B54" s="64" t="s">
        <v>152</v>
      </c>
      <c r="C54" s="64" t="s">
        <v>153</v>
      </c>
      <c r="D54" s="64" t="s">
        <v>154</v>
      </c>
      <c r="E54" s="35"/>
      <c r="F54" s="35"/>
      <c r="G54" s="35"/>
      <c r="H54" s="157"/>
      <c r="I54" s="83"/>
      <c r="J54" s="83"/>
      <c r="K54" s="83"/>
      <c r="L54" s="83"/>
      <c r="M54" s="83"/>
      <c r="N54" s="83"/>
      <c r="O54" s="83"/>
      <c r="P54" s="83"/>
      <c r="Q54" s="83"/>
      <c r="R54" s="83"/>
      <c r="S54" s="83"/>
      <c r="T54" s="83"/>
      <c r="U54" s="83"/>
      <c r="V54" s="83"/>
    </row>
    <row r="55" spans="1:22" ht="22.5" customHeight="1" x14ac:dyDescent="0.2">
      <c r="A55" s="41" t="s">
        <v>84</v>
      </c>
      <c r="B55" s="55" t="s">
        <v>149</v>
      </c>
      <c r="C55" s="55" t="s">
        <v>150</v>
      </c>
      <c r="D55" s="55" t="s">
        <v>151</v>
      </c>
      <c r="E55" s="42"/>
      <c r="F55" s="42"/>
      <c r="G55" s="42"/>
      <c r="H55" s="156"/>
      <c r="I55" s="83"/>
      <c r="J55" s="83"/>
      <c r="K55" s="83"/>
      <c r="L55" s="83"/>
      <c r="M55" s="83"/>
      <c r="N55" s="83"/>
      <c r="O55" s="83"/>
      <c r="P55" s="83"/>
      <c r="Q55" s="83"/>
      <c r="R55" s="83"/>
      <c r="S55" s="83"/>
      <c r="T55" s="83"/>
      <c r="U55" s="83"/>
      <c r="V55" s="83"/>
    </row>
    <row r="56" spans="1:22" ht="22.5" customHeight="1" x14ac:dyDescent="0.2">
      <c r="A56" s="60" t="s">
        <v>85</v>
      </c>
      <c r="B56" s="139" t="s">
        <v>114</v>
      </c>
      <c r="C56" s="139" t="s">
        <v>115</v>
      </c>
      <c r="D56" s="139" t="s">
        <v>112</v>
      </c>
      <c r="E56" s="43" t="s">
        <v>113</v>
      </c>
      <c r="F56" s="45"/>
      <c r="G56" s="45"/>
      <c r="H56" s="85"/>
      <c r="I56" s="83"/>
      <c r="J56" s="83"/>
      <c r="K56" s="83"/>
      <c r="L56" s="83"/>
      <c r="M56" s="83"/>
      <c r="N56" s="83"/>
      <c r="O56" s="83"/>
      <c r="P56" s="83"/>
      <c r="Q56" s="83"/>
      <c r="R56" s="83"/>
      <c r="S56" s="83"/>
      <c r="T56" s="83"/>
      <c r="U56" s="83"/>
      <c r="V56" s="83"/>
    </row>
    <row r="57" spans="1:22" ht="22.5" customHeight="1" x14ac:dyDescent="0.2">
      <c r="A57" s="60" t="s">
        <v>86</v>
      </c>
      <c r="B57" s="130"/>
      <c r="C57" s="130"/>
      <c r="D57" s="130"/>
      <c r="E57" s="146"/>
      <c r="F57" s="143" t="s">
        <v>172</v>
      </c>
      <c r="G57" s="42"/>
      <c r="H57" s="156"/>
      <c r="I57" s="83"/>
      <c r="J57" s="83"/>
      <c r="K57" s="83"/>
      <c r="L57" s="83"/>
      <c r="M57" s="83"/>
      <c r="N57" s="83"/>
      <c r="O57" s="83"/>
      <c r="P57" s="83"/>
      <c r="Q57" s="83"/>
      <c r="R57" s="83"/>
      <c r="S57" s="83"/>
      <c r="T57" s="83"/>
      <c r="U57" s="83"/>
      <c r="V57" s="83"/>
    </row>
    <row r="58" spans="1:22" ht="22.5" customHeight="1" x14ac:dyDescent="0.2">
      <c r="A58" s="58" t="s">
        <v>87</v>
      </c>
      <c r="B58" s="136" t="s">
        <v>169</v>
      </c>
      <c r="C58" s="136" t="s">
        <v>170</v>
      </c>
      <c r="D58" s="136" t="s">
        <v>170</v>
      </c>
      <c r="E58" s="150"/>
      <c r="F58" s="89" t="s">
        <v>165</v>
      </c>
      <c r="G58" s="45"/>
      <c r="H58" s="85"/>
      <c r="I58" s="83"/>
      <c r="J58" s="83"/>
      <c r="K58" s="83"/>
      <c r="L58" s="83"/>
      <c r="M58" s="83"/>
      <c r="N58" s="83"/>
      <c r="O58" s="83"/>
      <c r="P58" s="83"/>
      <c r="Q58" s="83"/>
      <c r="R58" s="83"/>
      <c r="S58" s="83"/>
      <c r="T58" s="83"/>
      <c r="U58" s="83"/>
      <c r="V58" s="83"/>
    </row>
    <row r="59" spans="1:22" ht="22.5" customHeight="1" x14ac:dyDescent="0.2">
      <c r="A59" s="12" t="s">
        <v>88</v>
      </c>
      <c r="B59" s="14" t="s">
        <v>134</v>
      </c>
      <c r="C59" s="14" t="s">
        <v>132</v>
      </c>
      <c r="D59" s="14" t="s">
        <v>133</v>
      </c>
      <c r="E59" s="88"/>
      <c r="F59" s="88" t="s">
        <v>130</v>
      </c>
      <c r="G59" s="86">
        <v>12</v>
      </c>
      <c r="H59" s="84"/>
      <c r="I59" s="83"/>
      <c r="J59" s="83"/>
      <c r="K59" s="83"/>
      <c r="L59" s="83"/>
      <c r="M59" s="83"/>
      <c r="N59" s="83"/>
      <c r="O59" s="83"/>
      <c r="P59" s="83"/>
      <c r="Q59" s="83"/>
      <c r="R59" s="83"/>
      <c r="S59" s="83"/>
      <c r="T59" s="83"/>
      <c r="U59" s="83"/>
      <c r="V59" s="83"/>
    </row>
    <row r="60" spans="1:22" ht="22.5" customHeight="1" x14ac:dyDescent="0.2">
      <c r="A60" s="44" t="s">
        <v>88</v>
      </c>
      <c r="B60" s="52" t="s">
        <v>208</v>
      </c>
      <c r="C60" s="52" t="s">
        <v>132</v>
      </c>
      <c r="D60" s="52" t="s">
        <v>133</v>
      </c>
      <c r="E60" s="89"/>
      <c r="F60" s="89" t="s">
        <v>130</v>
      </c>
      <c r="G60" s="87">
        <v>13</v>
      </c>
      <c r="H60" s="85"/>
      <c r="I60" s="83"/>
      <c r="J60" s="83"/>
      <c r="K60" s="83"/>
      <c r="L60" s="83"/>
      <c r="M60" s="83"/>
      <c r="N60" s="83"/>
      <c r="O60" s="83"/>
      <c r="P60" s="83"/>
      <c r="Q60" s="83"/>
      <c r="R60" s="83"/>
      <c r="S60" s="83"/>
      <c r="T60" s="83"/>
      <c r="U60" s="83"/>
      <c r="V60" s="83"/>
    </row>
    <row r="61" spans="1:22" ht="22.5" customHeight="1" x14ac:dyDescent="0.2">
      <c r="A61" s="41" t="s">
        <v>89</v>
      </c>
      <c r="B61" s="55" t="s">
        <v>155</v>
      </c>
      <c r="C61" s="55" t="s">
        <v>156</v>
      </c>
      <c r="D61" s="55" t="s">
        <v>129</v>
      </c>
      <c r="E61" s="143"/>
      <c r="F61" s="143" t="s">
        <v>130</v>
      </c>
      <c r="G61" s="152">
        <v>11</v>
      </c>
      <c r="H61" s="156"/>
      <c r="I61" s="83"/>
      <c r="J61" s="83"/>
      <c r="K61" s="83"/>
      <c r="L61" s="83"/>
      <c r="M61" s="83"/>
      <c r="N61" s="83"/>
      <c r="O61" s="83"/>
      <c r="P61" s="83"/>
      <c r="Q61" s="83"/>
      <c r="R61" s="83"/>
      <c r="S61" s="83"/>
      <c r="T61" s="83"/>
      <c r="U61" s="83"/>
      <c r="V61" s="83"/>
    </row>
    <row r="62" spans="1:22" ht="22.5" customHeight="1" x14ac:dyDescent="0.2">
      <c r="A62" s="33" t="s">
        <v>90</v>
      </c>
      <c r="B62" s="64" t="s">
        <v>155</v>
      </c>
      <c r="C62" s="64" t="s">
        <v>160</v>
      </c>
      <c r="D62" s="64" t="s">
        <v>129</v>
      </c>
      <c r="E62" s="144"/>
      <c r="F62" s="144" t="s">
        <v>130</v>
      </c>
      <c r="G62" s="153">
        <v>11</v>
      </c>
      <c r="H62" s="157"/>
      <c r="I62" s="83"/>
      <c r="J62" s="83"/>
      <c r="K62" s="83"/>
      <c r="L62" s="83"/>
      <c r="M62" s="83"/>
      <c r="N62" s="83"/>
      <c r="O62" s="83"/>
      <c r="P62" s="83"/>
      <c r="Q62" s="83"/>
      <c r="R62" s="83"/>
      <c r="S62" s="83"/>
      <c r="T62" s="83"/>
      <c r="U62" s="83"/>
      <c r="V62" s="83"/>
    </row>
    <row r="63" spans="1:22" ht="22.5" customHeight="1" x14ac:dyDescent="0.2">
      <c r="A63" s="41" t="s">
        <v>91</v>
      </c>
      <c r="B63" s="55" t="s">
        <v>174</v>
      </c>
      <c r="C63" s="55" t="s">
        <v>175</v>
      </c>
      <c r="D63" s="55" t="s">
        <v>176</v>
      </c>
      <c r="E63" s="143"/>
      <c r="F63" s="143" t="s">
        <v>165</v>
      </c>
      <c r="G63" s="42"/>
      <c r="H63" s="156"/>
      <c r="I63" s="83"/>
      <c r="J63" s="83"/>
      <c r="K63" s="83"/>
      <c r="L63" s="83"/>
      <c r="M63" s="83"/>
      <c r="N63" s="83"/>
      <c r="O63" s="83"/>
      <c r="P63" s="83"/>
      <c r="Q63" s="83"/>
      <c r="R63" s="83"/>
      <c r="S63" s="83"/>
      <c r="T63" s="83"/>
      <c r="U63" s="83"/>
      <c r="V63" s="83"/>
    </row>
    <row r="64" spans="1:22" ht="22.5" customHeight="1" x14ac:dyDescent="0.2">
      <c r="A64" s="44" t="s">
        <v>92</v>
      </c>
      <c r="B64" s="52" t="s">
        <v>123</v>
      </c>
      <c r="C64" s="52" t="s">
        <v>124</v>
      </c>
      <c r="D64" s="52" t="s">
        <v>125</v>
      </c>
      <c r="E64" s="45" t="s">
        <v>126</v>
      </c>
      <c r="F64" s="45"/>
      <c r="G64" s="45"/>
      <c r="H64" s="85"/>
      <c r="I64" s="83"/>
      <c r="J64" s="83"/>
      <c r="K64" s="83"/>
      <c r="L64" s="83"/>
      <c r="M64" s="83"/>
      <c r="N64" s="83"/>
      <c r="O64" s="83"/>
      <c r="P64" s="83"/>
      <c r="Q64" s="83"/>
      <c r="R64" s="83"/>
      <c r="S64" s="83"/>
      <c r="T64" s="83"/>
      <c r="U64" s="83"/>
      <c r="V64" s="83"/>
    </row>
    <row r="65" spans="1:22" ht="22.5" customHeight="1" x14ac:dyDescent="0.2">
      <c r="A65" s="41" t="s">
        <v>93</v>
      </c>
      <c r="B65" s="42"/>
      <c r="C65" s="55" t="s">
        <v>188</v>
      </c>
      <c r="D65" s="42"/>
      <c r="E65" s="42" t="s">
        <v>189</v>
      </c>
      <c r="F65" s="42"/>
      <c r="G65" s="42"/>
      <c r="H65" s="156"/>
      <c r="I65" s="83"/>
      <c r="J65" s="83"/>
      <c r="K65" s="83"/>
      <c r="L65" s="83"/>
      <c r="M65" s="83"/>
      <c r="N65" s="83"/>
      <c r="O65" s="83"/>
      <c r="P65" s="83"/>
      <c r="Q65" s="83"/>
      <c r="R65" s="83"/>
      <c r="S65" s="83"/>
      <c r="T65" s="83"/>
      <c r="U65" s="83"/>
      <c r="V65" s="83"/>
    </row>
    <row r="66" spans="1:22" ht="22.5" customHeight="1" x14ac:dyDescent="0.2">
      <c r="A66" s="44" t="s">
        <v>94</v>
      </c>
      <c r="B66" s="52" t="s">
        <v>140</v>
      </c>
      <c r="C66" s="52" t="s">
        <v>141</v>
      </c>
      <c r="D66" s="52" t="s">
        <v>142</v>
      </c>
      <c r="E66" s="45"/>
      <c r="F66" s="45"/>
      <c r="G66" s="87">
        <v>30</v>
      </c>
      <c r="H66" s="85"/>
      <c r="I66" s="83"/>
      <c r="J66" s="83"/>
      <c r="K66" s="83"/>
      <c r="L66" s="83"/>
      <c r="M66" s="83"/>
      <c r="N66" s="83"/>
      <c r="O66" s="83"/>
      <c r="P66" s="83"/>
      <c r="Q66" s="83"/>
      <c r="R66" s="83"/>
      <c r="S66" s="83"/>
      <c r="T66" s="83"/>
      <c r="U66" s="83"/>
      <c r="V66" s="83"/>
    </row>
    <row r="67" spans="1:22" ht="22.5" customHeight="1" x14ac:dyDescent="0.2">
      <c r="A67" s="128" t="s">
        <v>95</v>
      </c>
      <c r="B67" s="138" t="s">
        <v>162</v>
      </c>
      <c r="C67" s="138" t="s">
        <v>163</v>
      </c>
      <c r="D67" s="138" t="s">
        <v>164</v>
      </c>
      <c r="E67" s="90"/>
      <c r="F67" s="143" t="s">
        <v>165</v>
      </c>
      <c r="G67" s="152">
        <v>20</v>
      </c>
      <c r="H67" s="156"/>
      <c r="I67" s="83"/>
      <c r="J67" s="83"/>
      <c r="K67" s="83"/>
      <c r="L67" s="83"/>
      <c r="M67" s="83"/>
      <c r="N67" s="83"/>
      <c r="O67" s="83"/>
      <c r="P67" s="83"/>
      <c r="Q67" s="83"/>
      <c r="R67" s="83"/>
      <c r="S67" s="83"/>
      <c r="T67" s="83"/>
      <c r="U67" s="83"/>
      <c r="V67" s="83"/>
    </row>
    <row r="68" spans="1:22" ht="22.5" customHeight="1" x14ac:dyDescent="0.2">
      <c r="A68" s="58" t="s">
        <v>96</v>
      </c>
      <c r="B68" s="136" t="s">
        <v>166</v>
      </c>
      <c r="C68" s="136" t="s">
        <v>167</v>
      </c>
      <c r="D68" s="136" t="s">
        <v>168</v>
      </c>
      <c r="E68" s="149"/>
      <c r="F68" s="144" t="s">
        <v>165</v>
      </c>
      <c r="G68" s="153">
        <v>21</v>
      </c>
      <c r="H68" s="157"/>
      <c r="I68" s="83"/>
      <c r="J68" s="83"/>
      <c r="K68" s="83"/>
      <c r="L68" s="83"/>
      <c r="M68" s="83"/>
      <c r="N68" s="83"/>
      <c r="O68" s="83"/>
      <c r="P68" s="83"/>
      <c r="Q68" s="83"/>
      <c r="R68" s="83"/>
      <c r="S68" s="83"/>
      <c r="T68" s="83"/>
      <c r="U68" s="83"/>
      <c r="V68" s="83"/>
    </row>
    <row r="69" spans="1:22" ht="22.5" customHeight="1" x14ac:dyDescent="0.2">
      <c r="A69" s="12" t="s">
        <v>97</v>
      </c>
      <c r="B69" s="14" t="s">
        <v>121</v>
      </c>
      <c r="C69" s="14" t="s">
        <v>122</v>
      </c>
      <c r="D69" s="14" t="s">
        <v>118</v>
      </c>
      <c r="E69" s="49" t="s">
        <v>113</v>
      </c>
      <c r="F69" s="49"/>
      <c r="G69" s="49"/>
      <c r="H69" s="84"/>
      <c r="I69" s="83"/>
      <c r="J69" s="83"/>
      <c r="K69" s="83"/>
      <c r="L69" s="83"/>
      <c r="M69" s="83"/>
      <c r="N69" s="83"/>
      <c r="O69" s="83"/>
      <c r="P69" s="83"/>
      <c r="Q69" s="83"/>
      <c r="R69" s="83"/>
      <c r="S69" s="83"/>
      <c r="T69" s="83"/>
      <c r="U69" s="83"/>
      <c r="V69" s="83"/>
    </row>
    <row r="70" spans="1:22" ht="22.5" customHeight="1" x14ac:dyDescent="0.2">
      <c r="A70" s="58" t="s">
        <v>98</v>
      </c>
      <c r="B70" s="136" t="s">
        <v>173</v>
      </c>
      <c r="C70" s="136" t="s">
        <v>170</v>
      </c>
      <c r="D70" s="136" t="s">
        <v>170</v>
      </c>
      <c r="E70" s="149"/>
      <c r="F70" s="144" t="s">
        <v>165</v>
      </c>
      <c r="G70" s="153">
        <v>9</v>
      </c>
      <c r="H70" s="157"/>
      <c r="I70" s="83"/>
      <c r="J70" s="83"/>
      <c r="K70" s="83"/>
      <c r="L70" s="83"/>
      <c r="M70" s="83"/>
      <c r="N70" s="83"/>
      <c r="O70" s="83"/>
      <c r="P70" s="83"/>
      <c r="Q70" s="83"/>
      <c r="R70" s="83"/>
      <c r="S70" s="83"/>
      <c r="T70" s="83"/>
      <c r="U70" s="83"/>
      <c r="V70" s="83"/>
    </row>
    <row r="71" spans="1:22" ht="22.5" customHeight="1" x14ac:dyDescent="0.2">
      <c r="A71" s="12" t="s">
        <v>99</v>
      </c>
      <c r="B71" s="14" t="s">
        <v>202</v>
      </c>
      <c r="C71" s="14" t="s">
        <v>203</v>
      </c>
      <c r="D71" s="14" t="s">
        <v>204</v>
      </c>
      <c r="E71" s="49" t="s">
        <v>205</v>
      </c>
      <c r="F71" s="49"/>
      <c r="G71" s="49"/>
      <c r="H71" s="84"/>
      <c r="I71" s="83"/>
      <c r="J71" s="83"/>
      <c r="K71" s="83"/>
      <c r="L71" s="83"/>
      <c r="M71" s="83"/>
      <c r="N71" s="83"/>
      <c r="O71" s="83"/>
      <c r="P71" s="83"/>
      <c r="Q71" s="83"/>
      <c r="R71" s="83"/>
      <c r="S71" s="83"/>
      <c r="T71" s="83"/>
      <c r="U71" s="83"/>
      <c r="V71" s="83"/>
    </row>
    <row r="72" spans="1:22" ht="22.5" customHeight="1" x14ac:dyDescent="0.2">
      <c r="A72" s="41" t="s">
        <v>100</v>
      </c>
      <c r="B72" s="52" t="s">
        <v>135</v>
      </c>
      <c r="C72" s="52" t="s">
        <v>132</v>
      </c>
      <c r="D72" s="52" t="s">
        <v>133</v>
      </c>
      <c r="E72" s="89"/>
      <c r="F72" s="89" t="s">
        <v>130</v>
      </c>
      <c r="G72" s="87">
        <v>12</v>
      </c>
      <c r="H72" s="85"/>
      <c r="I72" s="83"/>
      <c r="J72" s="83"/>
      <c r="K72" s="83"/>
      <c r="L72" s="83"/>
      <c r="M72" s="83"/>
      <c r="N72" s="83"/>
      <c r="O72" s="83"/>
      <c r="P72" s="83"/>
      <c r="Q72" s="83"/>
      <c r="R72" s="83"/>
      <c r="S72" s="83"/>
      <c r="T72" s="83"/>
      <c r="U72" s="83"/>
      <c r="V72" s="83"/>
    </row>
    <row r="73" spans="1:22" s="83" customFormat="1" ht="22.5" customHeight="1" x14ac:dyDescent="0.2">
      <c r="A73" s="12" t="s">
        <v>100</v>
      </c>
      <c r="B73" s="14" t="s">
        <v>209</v>
      </c>
      <c r="C73" s="14" t="s">
        <v>132</v>
      </c>
      <c r="D73" s="64" t="s">
        <v>133</v>
      </c>
      <c r="E73" s="144"/>
      <c r="F73" s="144" t="s">
        <v>130</v>
      </c>
      <c r="G73" s="153">
        <v>13</v>
      </c>
      <c r="H73" s="35"/>
    </row>
    <row r="74" spans="1:22" s="83" customFormat="1" ht="22.5" customHeight="1" x14ac:dyDescent="0.2">
      <c r="A74" s="125" t="s">
        <v>101</v>
      </c>
      <c r="B74" s="135" t="s">
        <v>216</v>
      </c>
      <c r="C74" s="135" t="s">
        <v>217</v>
      </c>
      <c r="D74" s="53" t="s">
        <v>218</v>
      </c>
      <c r="E74" s="146"/>
      <c r="F74" s="146" t="s">
        <v>165</v>
      </c>
      <c r="G74" s="155">
        <v>24</v>
      </c>
      <c r="H74" s="43"/>
    </row>
    <row r="75" spans="1:22" ht="22.5" customHeight="1" x14ac:dyDescent="0.2">
      <c r="A75" s="44" t="s">
        <v>102</v>
      </c>
      <c r="B75" s="67" t="s">
        <v>244</v>
      </c>
      <c r="C75" s="67" t="s">
        <v>245</v>
      </c>
      <c r="D75" s="67" t="s">
        <v>246</v>
      </c>
      <c r="E75" s="147" t="s">
        <v>247</v>
      </c>
      <c r="F75" s="147" t="s">
        <v>130</v>
      </c>
      <c r="G75" s="154">
        <v>28</v>
      </c>
      <c r="H75" s="159"/>
      <c r="I75" s="83"/>
      <c r="J75" s="83"/>
      <c r="K75" s="83"/>
      <c r="L75" s="83"/>
      <c r="M75" s="83"/>
      <c r="N75" s="83"/>
      <c r="O75" s="83"/>
      <c r="P75" s="83"/>
      <c r="Q75" s="83"/>
      <c r="R75" s="83"/>
      <c r="S75" s="83"/>
      <c r="T75" s="83"/>
      <c r="U75" s="83"/>
      <c r="V75" s="83"/>
    </row>
    <row r="76" spans="1:22" ht="12.75" x14ac:dyDescent="0.2">
      <c r="A76" s="83"/>
      <c r="B76" s="83"/>
      <c r="C76" s="83"/>
      <c r="D76" s="83"/>
      <c r="E76" s="83"/>
      <c r="F76" s="83"/>
      <c r="G76" s="83"/>
      <c r="H76" s="83"/>
      <c r="I76" s="83"/>
      <c r="J76" s="83"/>
      <c r="K76" s="83"/>
      <c r="L76" s="83"/>
      <c r="M76" s="83"/>
      <c r="N76" s="83"/>
      <c r="O76" s="83"/>
      <c r="P76" s="83"/>
      <c r="Q76" s="83"/>
      <c r="R76" s="83"/>
      <c r="S76" s="83"/>
      <c r="T76" s="83"/>
      <c r="U76" s="83"/>
      <c r="V76" s="83"/>
    </row>
    <row r="77" spans="1:22" ht="12.75" x14ac:dyDescent="0.2">
      <c r="A77" s="83"/>
      <c r="B77" s="83"/>
      <c r="C77" s="83"/>
      <c r="D77" s="83"/>
      <c r="E77" s="83"/>
      <c r="F77" s="83"/>
      <c r="G77" s="83"/>
      <c r="H77" s="83"/>
      <c r="I77" s="83"/>
      <c r="J77" s="83"/>
      <c r="K77" s="83"/>
      <c r="L77" s="83"/>
      <c r="M77" s="83"/>
      <c r="N77" s="83"/>
      <c r="O77" s="83"/>
      <c r="P77" s="83"/>
      <c r="Q77" s="83"/>
      <c r="R77" s="83"/>
      <c r="S77" s="83"/>
      <c r="T77" s="83"/>
      <c r="U77" s="83"/>
      <c r="V77" s="83"/>
    </row>
    <row r="78" spans="1:22" ht="12.75" x14ac:dyDescent="0.2">
      <c r="A78" s="83"/>
      <c r="B78" s="83"/>
      <c r="C78" s="83"/>
      <c r="D78" s="83"/>
      <c r="E78" s="83"/>
      <c r="F78" s="83"/>
      <c r="G78" s="83"/>
      <c r="H78" s="83"/>
      <c r="I78" s="83"/>
      <c r="J78" s="83"/>
      <c r="K78" s="83"/>
      <c r="L78" s="83"/>
      <c r="M78" s="83"/>
      <c r="N78" s="83"/>
      <c r="O78" s="83"/>
      <c r="P78" s="83"/>
      <c r="Q78" s="83"/>
      <c r="R78" s="83"/>
      <c r="S78" s="83"/>
      <c r="T78" s="83"/>
      <c r="U78" s="83"/>
      <c r="V78" s="83"/>
    </row>
    <row r="79" spans="1:22" ht="12.75" x14ac:dyDescent="0.2">
      <c r="A79" s="83"/>
      <c r="B79" s="83"/>
      <c r="C79" s="83"/>
      <c r="D79" s="83"/>
      <c r="E79" s="83"/>
      <c r="F79" s="83"/>
      <c r="G79" s="83"/>
      <c r="H79" s="83"/>
      <c r="I79" s="83"/>
      <c r="J79" s="83"/>
      <c r="K79" s="83"/>
      <c r="L79" s="83"/>
      <c r="M79" s="83"/>
      <c r="N79" s="83"/>
      <c r="O79" s="83"/>
      <c r="P79" s="83"/>
      <c r="Q79" s="83"/>
      <c r="R79" s="83"/>
      <c r="S79" s="83"/>
      <c r="T79" s="83"/>
      <c r="U79" s="83"/>
      <c r="V79" s="83"/>
    </row>
    <row r="80" spans="1:22" ht="12.75" x14ac:dyDescent="0.2">
      <c r="A80" s="83"/>
      <c r="B80" s="83"/>
      <c r="C80" s="83"/>
      <c r="D80" s="83"/>
      <c r="E80" s="83"/>
      <c r="F80" s="83"/>
      <c r="G80" s="83"/>
      <c r="H80" s="83"/>
      <c r="I80" s="83"/>
      <c r="J80" s="83"/>
      <c r="K80" s="83"/>
      <c r="L80" s="83"/>
      <c r="M80" s="83"/>
      <c r="N80" s="83"/>
      <c r="O80" s="83"/>
      <c r="P80" s="83"/>
      <c r="Q80" s="83"/>
      <c r="R80" s="83"/>
      <c r="S80" s="83"/>
      <c r="T80" s="83"/>
      <c r="U80" s="83"/>
      <c r="V80" s="83"/>
    </row>
    <row r="81" spans="1:22" ht="12.75" x14ac:dyDescent="0.2">
      <c r="A81" s="83"/>
      <c r="B81" s="83"/>
      <c r="C81" s="83"/>
      <c r="D81" s="83"/>
      <c r="E81" s="83"/>
      <c r="F81" s="83"/>
      <c r="G81" s="83"/>
      <c r="H81" s="83"/>
      <c r="I81" s="83"/>
      <c r="J81" s="83"/>
      <c r="K81" s="83"/>
      <c r="L81" s="83"/>
      <c r="M81" s="83"/>
      <c r="N81" s="83"/>
      <c r="O81" s="83"/>
      <c r="P81" s="83"/>
      <c r="Q81" s="83"/>
      <c r="R81" s="83"/>
      <c r="S81" s="83"/>
      <c r="T81" s="83"/>
      <c r="U81" s="83"/>
      <c r="V81" s="83"/>
    </row>
    <row r="82" spans="1:22" ht="12.75" x14ac:dyDescent="0.2">
      <c r="A82" s="83"/>
      <c r="B82" s="83"/>
      <c r="C82" s="83"/>
      <c r="D82" s="83"/>
      <c r="E82" s="83"/>
      <c r="F82" s="83"/>
      <c r="G82" s="83"/>
      <c r="H82" s="83"/>
      <c r="I82" s="83"/>
      <c r="J82" s="83"/>
      <c r="K82" s="83"/>
      <c r="L82" s="83"/>
      <c r="M82" s="83"/>
      <c r="N82" s="83"/>
      <c r="O82" s="83"/>
      <c r="P82" s="83"/>
      <c r="Q82" s="83"/>
      <c r="R82" s="83"/>
      <c r="S82" s="83"/>
      <c r="T82" s="83"/>
      <c r="U82" s="83"/>
      <c r="V82" s="83"/>
    </row>
    <row r="83" spans="1:22" ht="12.75" x14ac:dyDescent="0.2">
      <c r="A83" s="83"/>
      <c r="B83" s="83"/>
      <c r="C83" s="83"/>
      <c r="D83" s="83"/>
      <c r="E83" s="83"/>
      <c r="F83" s="83"/>
      <c r="G83" s="83"/>
      <c r="H83" s="83"/>
      <c r="I83" s="83"/>
      <c r="J83" s="83"/>
      <c r="K83" s="83"/>
      <c r="L83" s="83"/>
      <c r="M83" s="83"/>
      <c r="N83" s="83"/>
      <c r="O83" s="83"/>
      <c r="P83" s="83"/>
      <c r="Q83" s="83"/>
      <c r="R83" s="83"/>
      <c r="S83" s="83"/>
      <c r="T83" s="83"/>
      <c r="U83" s="83"/>
      <c r="V83" s="83"/>
    </row>
    <row r="84" spans="1:22" ht="12.75" x14ac:dyDescent="0.2">
      <c r="A84" s="83"/>
      <c r="B84" s="83"/>
      <c r="C84" s="83"/>
      <c r="D84" s="83"/>
      <c r="E84" s="83"/>
      <c r="F84" s="83"/>
      <c r="G84" s="83"/>
      <c r="H84" s="83"/>
      <c r="I84" s="83"/>
      <c r="J84" s="83"/>
      <c r="K84" s="83"/>
      <c r="L84" s="83"/>
      <c r="M84" s="83"/>
      <c r="N84" s="83"/>
      <c r="O84" s="83"/>
      <c r="P84" s="83"/>
      <c r="Q84" s="83"/>
      <c r="R84" s="83"/>
      <c r="S84" s="83"/>
      <c r="T84" s="83"/>
      <c r="U84" s="83"/>
      <c r="V84" s="83"/>
    </row>
    <row r="85" spans="1:22" ht="12.75" x14ac:dyDescent="0.2">
      <c r="A85" s="83"/>
      <c r="B85" s="83"/>
      <c r="C85" s="83"/>
      <c r="D85" s="83"/>
      <c r="E85" s="83"/>
      <c r="F85" s="83"/>
      <c r="G85" s="83"/>
      <c r="H85" s="83"/>
      <c r="I85" s="83"/>
      <c r="J85" s="83"/>
      <c r="K85" s="83"/>
      <c r="L85" s="83"/>
      <c r="M85" s="83"/>
      <c r="N85" s="83"/>
      <c r="O85" s="83"/>
      <c r="P85" s="83"/>
      <c r="Q85" s="83"/>
      <c r="R85" s="83"/>
      <c r="S85" s="83"/>
      <c r="T85" s="83"/>
      <c r="U85" s="83"/>
      <c r="V85" s="83"/>
    </row>
    <row r="86" spans="1:22" ht="12.75" x14ac:dyDescent="0.2">
      <c r="A86" s="83"/>
      <c r="B86" s="83"/>
      <c r="C86" s="83"/>
      <c r="D86" s="83"/>
      <c r="E86" s="83"/>
      <c r="F86" s="83"/>
      <c r="G86" s="83"/>
      <c r="H86" s="83"/>
      <c r="I86" s="83"/>
      <c r="J86" s="83"/>
      <c r="K86" s="83"/>
      <c r="L86" s="83"/>
      <c r="M86" s="83"/>
      <c r="N86" s="83"/>
      <c r="O86" s="83"/>
      <c r="P86" s="83"/>
      <c r="Q86" s="83"/>
      <c r="R86" s="83"/>
      <c r="S86" s="83"/>
      <c r="T86" s="83"/>
      <c r="U86" s="83"/>
      <c r="V86" s="83"/>
    </row>
    <row r="87" spans="1:22" ht="12.75" x14ac:dyDescent="0.2">
      <c r="A87" s="83"/>
      <c r="B87" s="83"/>
      <c r="C87" s="83"/>
      <c r="D87" s="83"/>
      <c r="E87" s="83"/>
      <c r="F87" s="83"/>
      <c r="G87" s="83"/>
      <c r="H87" s="83"/>
      <c r="I87" s="83"/>
      <c r="J87" s="83"/>
      <c r="K87" s="83"/>
      <c r="L87" s="83"/>
      <c r="M87" s="83"/>
      <c r="N87" s="83"/>
      <c r="O87" s="83"/>
      <c r="P87" s="83"/>
      <c r="Q87" s="83"/>
      <c r="R87" s="83"/>
      <c r="S87" s="83"/>
      <c r="T87" s="83"/>
      <c r="U87" s="83"/>
      <c r="V87" s="83"/>
    </row>
    <row r="88" spans="1:22" ht="12.75" x14ac:dyDescent="0.2">
      <c r="A88" s="83"/>
      <c r="B88" s="83"/>
      <c r="C88" s="83"/>
      <c r="D88" s="83"/>
      <c r="E88" s="83"/>
      <c r="F88" s="83"/>
      <c r="G88" s="83"/>
      <c r="H88" s="83"/>
      <c r="I88" s="83"/>
      <c r="J88" s="83"/>
      <c r="K88" s="83"/>
      <c r="L88" s="83"/>
      <c r="M88" s="83"/>
      <c r="N88" s="83"/>
      <c r="O88" s="83"/>
      <c r="P88" s="83"/>
      <c r="Q88" s="83"/>
      <c r="R88" s="83"/>
      <c r="S88" s="83"/>
      <c r="T88" s="83"/>
      <c r="U88" s="83"/>
      <c r="V88" s="83"/>
    </row>
    <row r="89" spans="1:22" ht="12.75" x14ac:dyDescent="0.2">
      <c r="A89" s="83"/>
      <c r="B89" s="83"/>
      <c r="C89" s="83"/>
      <c r="D89" s="83"/>
      <c r="E89" s="83"/>
      <c r="F89" s="83"/>
      <c r="G89" s="83"/>
      <c r="H89" s="83"/>
      <c r="I89" s="83"/>
      <c r="J89" s="83"/>
      <c r="K89" s="83"/>
      <c r="L89" s="83"/>
      <c r="M89" s="83"/>
      <c r="N89" s="83"/>
      <c r="O89" s="83"/>
      <c r="P89" s="83"/>
      <c r="Q89" s="83"/>
      <c r="R89" s="83"/>
      <c r="S89" s="83"/>
      <c r="T89" s="83"/>
      <c r="U89" s="83"/>
      <c r="V89" s="83"/>
    </row>
    <row r="90" spans="1:22" ht="12.75" x14ac:dyDescent="0.2">
      <c r="A90" s="83"/>
      <c r="B90" s="83"/>
      <c r="C90" s="83"/>
      <c r="D90" s="83"/>
      <c r="E90" s="83"/>
      <c r="F90" s="83"/>
      <c r="G90" s="83"/>
      <c r="H90" s="83"/>
      <c r="I90" s="83"/>
      <c r="J90" s="83"/>
      <c r="K90" s="83"/>
      <c r="L90" s="83"/>
      <c r="M90" s="83"/>
      <c r="N90" s="83"/>
      <c r="O90" s="83"/>
      <c r="P90" s="83"/>
      <c r="Q90" s="83"/>
      <c r="R90" s="83"/>
      <c r="S90" s="83"/>
      <c r="T90" s="83"/>
      <c r="U90" s="83"/>
      <c r="V90" s="83"/>
    </row>
    <row r="91" spans="1:22" ht="12.75" x14ac:dyDescent="0.2">
      <c r="A91" s="83"/>
      <c r="B91" s="83"/>
      <c r="C91" s="83"/>
      <c r="D91" s="83"/>
      <c r="E91" s="83"/>
      <c r="F91" s="83"/>
      <c r="G91" s="83"/>
      <c r="H91" s="83"/>
      <c r="I91" s="83"/>
      <c r="J91" s="83"/>
      <c r="K91" s="83"/>
      <c r="L91" s="83"/>
      <c r="M91" s="83"/>
      <c r="N91" s="83"/>
      <c r="O91" s="83"/>
      <c r="P91" s="83"/>
      <c r="Q91" s="83"/>
      <c r="R91" s="83"/>
      <c r="S91" s="83"/>
      <c r="T91" s="83"/>
      <c r="U91" s="83"/>
      <c r="V91" s="83"/>
    </row>
    <row r="92" spans="1:22" ht="12.75" x14ac:dyDescent="0.2">
      <c r="A92" s="83"/>
      <c r="B92" s="83"/>
      <c r="C92" s="83"/>
      <c r="D92" s="83"/>
      <c r="E92" s="83"/>
      <c r="F92" s="83"/>
      <c r="G92" s="83"/>
      <c r="H92" s="83"/>
      <c r="I92" s="83"/>
      <c r="J92" s="83"/>
      <c r="K92" s="83"/>
      <c r="L92" s="83"/>
      <c r="M92" s="83"/>
      <c r="N92" s="83"/>
      <c r="O92" s="83"/>
      <c r="P92" s="83"/>
      <c r="Q92" s="83"/>
      <c r="R92" s="83"/>
      <c r="S92" s="83"/>
      <c r="T92" s="83"/>
      <c r="U92" s="83"/>
      <c r="V92" s="83"/>
    </row>
    <row r="93" spans="1:22" ht="12.75" x14ac:dyDescent="0.2">
      <c r="A93" s="83"/>
      <c r="B93" s="83"/>
      <c r="C93" s="83"/>
      <c r="D93" s="83"/>
      <c r="E93" s="83"/>
      <c r="F93" s="83"/>
      <c r="G93" s="83"/>
      <c r="H93" s="83"/>
      <c r="I93" s="83"/>
      <c r="J93" s="83"/>
      <c r="K93" s="83"/>
      <c r="L93" s="83"/>
      <c r="M93" s="83"/>
      <c r="N93" s="83"/>
      <c r="O93" s="83"/>
      <c r="P93" s="83"/>
      <c r="Q93" s="83"/>
      <c r="R93" s="83"/>
      <c r="S93" s="83"/>
      <c r="T93" s="83"/>
      <c r="U93" s="83"/>
      <c r="V93" s="83"/>
    </row>
    <row r="94" spans="1:22" ht="12.75" x14ac:dyDescent="0.2">
      <c r="A94" s="83"/>
      <c r="B94" s="83"/>
      <c r="C94" s="83"/>
      <c r="D94" s="83"/>
      <c r="E94" s="83"/>
      <c r="F94" s="83"/>
      <c r="G94" s="83"/>
      <c r="H94" s="83"/>
      <c r="I94" s="83"/>
      <c r="J94" s="83"/>
      <c r="K94" s="83"/>
      <c r="L94" s="83"/>
      <c r="M94" s="83"/>
      <c r="N94" s="83"/>
      <c r="O94" s="83"/>
      <c r="P94" s="83"/>
      <c r="Q94" s="83"/>
      <c r="R94" s="83"/>
      <c r="S94" s="83"/>
      <c r="T94" s="83"/>
      <c r="U94" s="83"/>
      <c r="V94" s="83"/>
    </row>
    <row r="95" spans="1:22" ht="12.75" x14ac:dyDescent="0.2">
      <c r="A95" s="83"/>
      <c r="B95" s="83"/>
      <c r="C95" s="83"/>
      <c r="D95" s="83"/>
      <c r="E95" s="83"/>
      <c r="F95" s="83"/>
      <c r="G95" s="83"/>
      <c r="H95" s="83"/>
      <c r="I95" s="83"/>
      <c r="J95" s="83"/>
      <c r="K95" s="83"/>
      <c r="L95" s="83"/>
      <c r="M95" s="83"/>
      <c r="N95" s="83"/>
      <c r="O95" s="83"/>
      <c r="P95" s="83"/>
      <c r="Q95" s="83"/>
      <c r="R95" s="83"/>
      <c r="S95" s="83"/>
      <c r="T95" s="83"/>
      <c r="U95" s="83"/>
      <c r="V95" s="83"/>
    </row>
    <row r="96" spans="1:22" ht="12.75" x14ac:dyDescent="0.2">
      <c r="A96" s="83"/>
      <c r="B96" s="83"/>
      <c r="C96" s="83"/>
      <c r="D96" s="83"/>
      <c r="E96" s="83"/>
      <c r="F96" s="83"/>
      <c r="G96" s="83"/>
      <c r="H96" s="83"/>
      <c r="I96" s="83"/>
      <c r="J96" s="83"/>
      <c r="K96" s="83"/>
      <c r="L96" s="83"/>
      <c r="M96" s="83"/>
      <c r="N96" s="83"/>
      <c r="O96" s="83"/>
      <c r="P96" s="83"/>
      <c r="Q96" s="83"/>
      <c r="R96" s="83"/>
      <c r="S96" s="83"/>
      <c r="T96" s="83"/>
      <c r="U96" s="83"/>
      <c r="V96" s="83"/>
    </row>
    <row r="97" spans="1:22" ht="12.75" x14ac:dyDescent="0.2">
      <c r="A97" s="83"/>
      <c r="B97" s="83"/>
      <c r="C97" s="83"/>
      <c r="D97" s="83"/>
      <c r="E97" s="83"/>
      <c r="F97" s="83"/>
      <c r="G97" s="83"/>
      <c r="H97" s="83"/>
      <c r="I97" s="83"/>
      <c r="J97" s="83"/>
      <c r="K97" s="83"/>
      <c r="L97" s="83"/>
      <c r="M97" s="83"/>
      <c r="N97" s="83"/>
      <c r="O97" s="83"/>
      <c r="P97" s="83"/>
      <c r="Q97" s="83"/>
      <c r="R97" s="83"/>
      <c r="S97" s="83"/>
      <c r="T97" s="83"/>
      <c r="U97" s="83"/>
      <c r="V97" s="83"/>
    </row>
    <row r="98" spans="1:22" ht="12.75" x14ac:dyDescent="0.2">
      <c r="A98" s="83"/>
      <c r="B98" s="83"/>
      <c r="C98" s="83"/>
      <c r="D98" s="83"/>
      <c r="E98" s="83"/>
      <c r="F98" s="83"/>
      <c r="G98" s="83"/>
      <c r="H98" s="83"/>
      <c r="I98" s="83"/>
      <c r="J98" s="83"/>
      <c r="K98" s="83"/>
      <c r="L98" s="83"/>
      <c r="M98" s="83"/>
      <c r="N98" s="83"/>
      <c r="O98" s="83"/>
      <c r="P98" s="83"/>
      <c r="Q98" s="83"/>
      <c r="R98" s="83"/>
      <c r="S98" s="83"/>
      <c r="T98" s="83"/>
      <c r="U98" s="83"/>
      <c r="V98" s="83"/>
    </row>
    <row r="99" spans="1:22" ht="12.75" x14ac:dyDescent="0.2">
      <c r="A99" s="83"/>
      <c r="B99" s="83"/>
      <c r="C99" s="83"/>
      <c r="D99" s="83"/>
      <c r="E99" s="83"/>
      <c r="F99" s="83"/>
      <c r="G99" s="83"/>
      <c r="H99" s="83"/>
      <c r="I99" s="83"/>
      <c r="J99" s="83"/>
      <c r="K99" s="83"/>
      <c r="L99" s="83"/>
      <c r="M99" s="83"/>
      <c r="N99" s="83"/>
      <c r="O99" s="83"/>
      <c r="P99" s="83"/>
      <c r="Q99" s="83"/>
      <c r="R99" s="83"/>
      <c r="S99" s="83"/>
      <c r="T99" s="83"/>
      <c r="U99" s="83"/>
      <c r="V99" s="83"/>
    </row>
    <row r="100" spans="1:22" ht="12.75" x14ac:dyDescent="0.2">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75" x14ac:dyDescent="0.2">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75" x14ac:dyDescent="0.2">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75" x14ac:dyDescent="0.2">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75" x14ac:dyDescent="0.2">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75" x14ac:dyDescent="0.2">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75" x14ac:dyDescent="0.2">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75" x14ac:dyDescent="0.2">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75" x14ac:dyDescent="0.2">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75" x14ac:dyDescent="0.2">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75" x14ac:dyDescent="0.2">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75" x14ac:dyDescent="0.2">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75" x14ac:dyDescent="0.2">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75" x14ac:dyDescent="0.2">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75" x14ac:dyDescent="0.2">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75" x14ac:dyDescent="0.2">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75" x14ac:dyDescent="0.2">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75" x14ac:dyDescent="0.2">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75" x14ac:dyDescent="0.2">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75" x14ac:dyDescent="0.2">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75" x14ac:dyDescent="0.2">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75" x14ac:dyDescent="0.2">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75" x14ac:dyDescent="0.2">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75" x14ac:dyDescent="0.2">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75" x14ac:dyDescent="0.2">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75" x14ac:dyDescent="0.2">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75" x14ac:dyDescent="0.2">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75" x14ac:dyDescent="0.2">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75" x14ac:dyDescent="0.2">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75" x14ac:dyDescent="0.2">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75" x14ac:dyDescent="0.2">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75" x14ac:dyDescent="0.2">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75" x14ac:dyDescent="0.2">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75" x14ac:dyDescent="0.2">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75" x14ac:dyDescent="0.2">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75" x14ac:dyDescent="0.2">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75" x14ac:dyDescent="0.2">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75" x14ac:dyDescent="0.2">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75" x14ac:dyDescent="0.2">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75" x14ac:dyDescent="0.2">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75" x14ac:dyDescent="0.2">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75" x14ac:dyDescent="0.2">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75" x14ac:dyDescent="0.2">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75" x14ac:dyDescent="0.2">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75" x14ac:dyDescent="0.2">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75" x14ac:dyDescent="0.2">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75" x14ac:dyDescent="0.2">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75" x14ac:dyDescent="0.2">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75" x14ac:dyDescent="0.2">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75" x14ac:dyDescent="0.2">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75" x14ac:dyDescent="0.2">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75" x14ac:dyDescent="0.2">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75" x14ac:dyDescent="0.2">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75" x14ac:dyDescent="0.2">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75" x14ac:dyDescent="0.2">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75" x14ac:dyDescent="0.2">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75" x14ac:dyDescent="0.2">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75" x14ac:dyDescent="0.2">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75" x14ac:dyDescent="0.2">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75" x14ac:dyDescent="0.2">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75" x14ac:dyDescent="0.2">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75" x14ac:dyDescent="0.2">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75" x14ac:dyDescent="0.2">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75" x14ac:dyDescent="0.2">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75" x14ac:dyDescent="0.2">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75" x14ac:dyDescent="0.2">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75" x14ac:dyDescent="0.2">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75" x14ac:dyDescent="0.2">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75" x14ac:dyDescent="0.2">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75" x14ac:dyDescent="0.2">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75" x14ac:dyDescent="0.2">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75" x14ac:dyDescent="0.2">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75" x14ac:dyDescent="0.2">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75" x14ac:dyDescent="0.2">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75" x14ac:dyDescent="0.2">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75" x14ac:dyDescent="0.2">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75" x14ac:dyDescent="0.2">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75" x14ac:dyDescent="0.2">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75" x14ac:dyDescent="0.2">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75" x14ac:dyDescent="0.2">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75" x14ac:dyDescent="0.2">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75" x14ac:dyDescent="0.2">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75" x14ac:dyDescent="0.2">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75" x14ac:dyDescent="0.2">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75" x14ac:dyDescent="0.2">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75" x14ac:dyDescent="0.2">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75" x14ac:dyDescent="0.2">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75" x14ac:dyDescent="0.2">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75" x14ac:dyDescent="0.2">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75" x14ac:dyDescent="0.2">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75" x14ac:dyDescent="0.2">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75" x14ac:dyDescent="0.2">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75" x14ac:dyDescent="0.2">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75" x14ac:dyDescent="0.2">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75" x14ac:dyDescent="0.2">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75" x14ac:dyDescent="0.2">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75" x14ac:dyDescent="0.2">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75" x14ac:dyDescent="0.2">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75" x14ac:dyDescent="0.2">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75" x14ac:dyDescent="0.2">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75" x14ac:dyDescent="0.2">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75" x14ac:dyDescent="0.2">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75" x14ac:dyDescent="0.2">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75" x14ac:dyDescent="0.2">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75" x14ac:dyDescent="0.2">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75" x14ac:dyDescent="0.2">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75" x14ac:dyDescent="0.2">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75" x14ac:dyDescent="0.2">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75" x14ac:dyDescent="0.2">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75" x14ac:dyDescent="0.2">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75" x14ac:dyDescent="0.2">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75" x14ac:dyDescent="0.2">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75" x14ac:dyDescent="0.2">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75" x14ac:dyDescent="0.2">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75" x14ac:dyDescent="0.2">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75" x14ac:dyDescent="0.2">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75" x14ac:dyDescent="0.2">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75" x14ac:dyDescent="0.2">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75" x14ac:dyDescent="0.2">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75" x14ac:dyDescent="0.2">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75" x14ac:dyDescent="0.2">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75" x14ac:dyDescent="0.2">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75" x14ac:dyDescent="0.2">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75" x14ac:dyDescent="0.2">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75" x14ac:dyDescent="0.2">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75" x14ac:dyDescent="0.2">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75" x14ac:dyDescent="0.2">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75" x14ac:dyDescent="0.2">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75" x14ac:dyDescent="0.2">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75" x14ac:dyDescent="0.2">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75" x14ac:dyDescent="0.2">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75" x14ac:dyDescent="0.2">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75" x14ac:dyDescent="0.2">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75" x14ac:dyDescent="0.2">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75" x14ac:dyDescent="0.2">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75" x14ac:dyDescent="0.2">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75" x14ac:dyDescent="0.2">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75" x14ac:dyDescent="0.2">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75" x14ac:dyDescent="0.2">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75" x14ac:dyDescent="0.2">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75" x14ac:dyDescent="0.2">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75" x14ac:dyDescent="0.2">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75" x14ac:dyDescent="0.2">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75" x14ac:dyDescent="0.2">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75" x14ac:dyDescent="0.2">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75" x14ac:dyDescent="0.2">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75" x14ac:dyDescent="0.2">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75" x14ac:dyDescent="0.2">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75" x14ac:dyDescent="0.2">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75" x14ac:dyDescent="0.2">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75" x14ac:dyDescent="0.2">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75" x14ac:dyDescent="0.2">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75" x14ac:dyDescent="0.2">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75" x14ac:dyDescent="0.2">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75" x14ac:dyDescent="0.2">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75" x14ac:dyDescent="0.2">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75" x14ac:dyDescent="0.2">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75" x14ac:dyDescent="0.2">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75" x14ac:dyDescent="0.2">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75" x14ac:dyDescent="0.2">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75" x14ac:dyDescent="0.2">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75" x14ac:dyDescent="0.2">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75" x14ac:dyDescent="0.2">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75" x14ac:dyDescent="0.2">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75" x14ac:dyDescent="0.2">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75" x14ac:dyDescent="0.2">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75" x14ac:dyDescent="0.2">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75" x14ac:dyDescent="0.2">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75" x14ac:dyDescent="0.2">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75" x14ac:dyDescent="0.2">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75" x14ac:dyDescent="0.2">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75" x14ac:dyDescent="0.2">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75" x14ac:dyDescent="0.2">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75" x14ac:dyDescent="0.2">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75" x14ac:dyDescent="0.2">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75" x14ac:dyDescent="0.2">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75" x14ac:dyDescent="0.2">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75" x14ac:dyDescent="0.2">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75" x14ac:dyDescent="0.2">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75" x14ac:dyDescent="0.2">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75" x14ac:dyDescent="0.2">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75" x14ac:dyDescent="0.2">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75" x14ac:dyDescent="0.2">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75" x14ac:dyDescent="0.2">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75" x14ac:dyDescent="0.2">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75" x14ac:dyDescent="0.2">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75" x14ac:dyDescent="0.2">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75" x14ac:dyDescent="0.2">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75" x14ac:dyDescent="0.2">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75" x14ac:dyDescent="0.2">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75" x14ac:dyDescent="0.2">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75" x14ac:dyDescent="0.2">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75" x14ac:dyDescent="0.2">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75" x14ac:dyDescent="0.2">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75" x14ac:dyDescent="0.2">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75" x14ac:dyDescent="0.2">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75" x14ac:dyDescent="0.2">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75" x14ac:dyDescent="0.2">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75" x14ac:dyDescent="0.2">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75" x14ac:dyDescent="0.2">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75" x14ac:dyDescent="0.2">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75" x14ac:dyDescent="0.2">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75" x14ac:dyDescent="0.2">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75" x14ac:dyDescent="0.2">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75" x14ac:dyDescent="0.2">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75" x14ac:dyDescent="0.2">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75" x14ac:dyDescent="0.2">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75" x14ac:dyDescent="0.2">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75" x14ac:dyDescent="0.2">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75" x14ac:dyDescent="0.2">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75" x14ac:dyDescent="0.2">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75" x14ac:dyDescent="0.2">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75" x14ac:dyDescent="0.2">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75" x14ac:dyDescent="0.2">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75" x14ac:dyDescent="0.2">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75" x14ac:dyDescent="0.2">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75" x14ac:dyDescent="0.2">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75" x14ac:dyDescent="0.2">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75" x14ac:dyDescent="0.2">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75" x14ac:dyDescent="0.2">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75" x14ac:dyDescent="0.2">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75" x14ac:dyDescent="0.2">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75" x14ac:dyDescent="0.2">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75" x14ac:dyDescent="0.2">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75" x14ac:dyDescent="0.2">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75" x14ac:dyDescent="0.2">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75" x14ac:dyDescent="0.2">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75" x14ac:dyDescent="0.2">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75" x14ac:dyDescent="0.2">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75" x14ac:dyDescent="0.2">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75" x14ac:dyDescent="0.2">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75" x14ac:dyDescent="0.2">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75" x14ac:dyDescent="0.2">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75" x14ac:dyDescent="0.2">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75" x14ac:dyDescent="0.2">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75" x14ac:dyDescent="0.2">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75" x14ac:dyDescent="0.2">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75" x14ac:dyDescent="0.2">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75" x14ac:dyDescent="0.2">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75" x14ac:dyDescent="0.2">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75" x14ac:dyDescent="0.2">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75" x14ac:dyDescent="0.2">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75" x14ac:dyDescent="0.2">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75" x14ac:dyDescent="0.2">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75" x14ac:dyDescent="0.2">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75" x14ac:dyDescent="0.2">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75" x14ac:dyDescent="0.2">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75" x14ac:dyDescent="0.2">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75" x14ac:dyDescent="0.2">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75" x14ac:dyDescent="0.2">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75" x14ac:dyDescent="0.2">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75" x14ac:dyDescent="0.2">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75" x14ac:dyDescent="0.2">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75" x14ac:dyDescent="0.2">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75" x14ac:dyDescent="0.2">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75" x14ac:dyDescent="0.2">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75" x14ac:dyDescent="0.2">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75" x14ac:dyDescent="0.2">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75" x14ac:dyDescent="0.2">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75" x14ac:dyDescent="0.2">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75" x14ac:dyDescent="0.2">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75" x14ac:dyDescent="0.2">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75" x14ac:dyDescent="0.2">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75" x14ac:dyDescent="0.2">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75" x14ac:dyDescent="0.2">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75" x14ac:dyDescent="0.2">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75" x14ac:dyDescent="0.2">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75" x14ac:dyDescent="0.2">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75" x14ac:dyDescent="0.2">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75" x14ac:dyDescent="0.2">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75" x14ac:dyDescent="0.2">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75" x14ac:dyDescent="0.2">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75" x14ac:dyDescent="0.2">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75" x14ac:dyDescent="0.2">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75" x14ac:dyDescent="0.2">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75" x14ac:dyDescent="0.2">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75" x14ac:dyDescent="0.2">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75" x14ac:dyDescent="0.2">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75" x14ac:dyDescent="0.2">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75" x14ac:dyDescent="0.2">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75" x14ac:dyDescent="0.2">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75" x14ac:dyDescent="0.2">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75" x14ac:dyDescent="0.2">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75" x14ac:dyDescent="0.2">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75" x14ac:dyDescent="0.2">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75" x14ac:dyDescent="0.2">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75" x14ac:dyDescent="0.2">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75" x14ac:dyDescent="0.2">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75" x14ac:dyDescent="0.2">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75" x14ac:dyDescent="0.2">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75" x14ac:dyDescent="0.2">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75" x14ac:dyDescent="0.2">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75" x14ac:dyDescent="0.2">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75" x14ac:dyDescent="0.2">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75" x14ac:dyDescent="0.2">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75" x14ac:dyDescent="0.2">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75" x14ac:dyDescent="0.2">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75" x14ac:dyDescent="0.2">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75" x14ac:dyDescent="0.2">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75" x14ac:dyDescent="0.2">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75" x14ac:dyDescent="0.2">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75" x14ac:dyDescent="0.2">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75" x14ac:dyDescent="0.2">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75" x14ac:dyDescent="0.2">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75" x14ac:dyDescent="0.2">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75" x14ac:dyDescent="0.2">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75" x14ac:dyDescent="0.2">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75" x14ac:dyDescent="0.2">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75" x14ac:dyDescent="0.2">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75" x14ac:dyDescent="0.2">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75" x14ac:dyDescent="0.2">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75" x14ac:dyDescent="0.2">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75" x14ac:dyDescent="0.2">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75" x14ac:dyDescent="0.2">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75" x14ac:dyDescent="0.2">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75" x14ac:dyDescent="0.2">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75" x14ac:dyDescent="0.2">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75" x14ac:dyDescent="0.2">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75" x14ac:dyDescent="0.2">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75" x14ac:dyDescent="0.2">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75" x14ac:dyDescent="0.2">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75" x14ac:dyDescent="0.2">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75" x14ac:dyDescent="0.2">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75" x14ac:dyDescent="0.2">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75" x14ac:dyDescent="0.2">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75" x14ac:dyDescent="0.2">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75" x14ac:dyDescent="0.2">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75" x14ac:dyDescent="0.2">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75" x14ac:dyDescent="0.2">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75" x14ac:dyDescent="0.2">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75" x14ac:dyDescent="0.2">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75" x14ac:dyDescent="0.2">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75" x14ac:dyDescent="0.2">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75" x14ac:dyDescent="0.2">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75" x14ac:dyDescent="0.2">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75" x14ac:dyDescent="0.2">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75" x14ac:dyDescent="0.2">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75" x14ac:dyDescent="0.2">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75" x14ac:dyDescent="0.2">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75" x14ac:dyDescent="0.2">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75" x14ac:dyDescent="0.2">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75" x14ac:dyDescent="0.2">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75" x14ac:dyDescent="0.2">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75" x14ac:dyDescent="0.2">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75" x14ac:dyDescent="0.2">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75" x14ac:dyDescent="0.2">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75" x14ac:dyDescent="0.2">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75" x14ac:dyDescent="0.2">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75" x14ac:dyDescent="0.2">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75" x14ac:dyDescent="0.2">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75" x14ac:dyDescent="0.2">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75" x14ac:dyDescent="0.2">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75" x14ac:dyDescent="0.2">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75" x14ac:dyDescent="0.2">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75" x14ac:dyDescent="0.2">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75" x14ac:dyDescent="0.2">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75" x14ac:dyDescent="0.2">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75" x14ac:dyDescent="0.2">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75" x14ac:dyDescent="0.2">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75" x14ac:dyDescent="0.2">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75" x14ac:dyDescent="0.2">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75" x14ac:dyDescent="0.2">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75" x14ac:dyDescent="0.2">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75" x14ac:dyDescent="0.2">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75" x14ac:dyDescent="0.2">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75" x14ac:dyDescent="0.2">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75" x14ac:dyDescent="0.2">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75" x14ac:dyDescent="0.2">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75" x14ac:dyDescent="0.2">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75" x14ac:dyDescent="0.2">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75" x14ac:dyDescent="0.2">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75" x14ac:dyDescent="0.2">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75" x14ac:dyDescent="0.2">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75" x14ac:dyDescent="0.2">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75" x14ac:dyDescent="0.2">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75" x14ac:dyDescent="0.2">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75" x14ac:dyDescent="0.2">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75" x14ac:dyDescent="0.2">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75" x14ac:dyDescent="0.2">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75" x14ac:dyDescent="0.2">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75" x14ac:dyDescent="0.2">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75" x14ac:dyDescent="0.2">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75" x14ac:dyDescent="0.2">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75" x14ac:dyDescent="0.2">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75" x14ac:dyDescent="0.2">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75" x14ac:dyDescent="0.2">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75" x14ac:dyDescent="0.2">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75" x14ac:dyDescent="0.2">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75" x14ac:dyDescent="0.2">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75" x14ac:dyDescent="0.2">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75" x14ac:dyDescent="0.2">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75" x14ac:dyDescent="0.2">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75" x14ac:dyDescent="0.2">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75" x14ac:dyDescent="0.2">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75" x14ac:dyDescent="0.2">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75" x14ac:dyDescent="0.2">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75" x14ac:dyDescent="0.2">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75" x14ac:dyDescent="0.2">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75" x14ac:dyDescent="0.2">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75" x14ac:dyDescent="0.2">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75" x14ac:dyDescent="0.2">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75" x14ac:dyDescent="0.2">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75" x14ac:dyDescent="0.2">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75" x14ac:dyDescent="0.2">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75" x14ac:dyDescent="0.2">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75" x14ac:dyDescent="0.2">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75" x14ac:dyDescent="0.2">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75" x14ac:dyDescent="0.2">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75" x14ac:dyDescent="0.2">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75" x14ac:dyDescent="0.2">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75" x14ac:dyDescent="0.2">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75" x14ac:dyDescent="0.2">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75" x14ac:dyDescent="0.2">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75" x14ac:dyDescent="0.2">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75" x14ac:dyDescent="0.2">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75" x14ac:dyDescent="0.2">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75" x14ac:dyDescent="0.2">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75" x14ac:dyDescent="0.2">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75" x14ac:dyDescent="0.2">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75" x14ac:dyDescent="0.2">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75" x14ac:dyDescent="0.2">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75" x14ac:dyDescent="0.2">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75" x14ac:dyDescent="0.2">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75" x14ac:dyDescent="0.2">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75" x14ac:dyDescent="0.2">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75" x14ac:dyDescent="0.2">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75" x14ac:dyDescent="0.2">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75" x14ac:dyDescent="0.2">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75" x14ac:dyDescent="0.2">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75" x14ac:dyDescent="0.2">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75" x14ac:dyDescent="0.2">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75" x14ac:dyDescent="0.2">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75" x14ac:dyDescent="0.2">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75" x14ac:dyDescent="0.2">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75" x14ac:dyDescent="0.2">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75" x14ac:dyDescent="0.2">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75" x14ac:dyDescent="0.2">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75" x14ac:dyDescent="0.2">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75" x14ac:dyDescent="0.2">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75" x14ac:dyDescent="0.2">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75" x14ac:dyDescent="0.2">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75" x14ac:dyDescent="0.2">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75" x14ac:dyDescent="0.2">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75" x14ac:dyDescent="0.2">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75" x14ac:dyDescent="0.2">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75" x14ac:dyDescent="0.2">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75" x14ac:dyDescent="0.2">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75" x14ac:dyDescent="0.2">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75" x14ac:dyDescent="0.2">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75" x14ac:dyDescent="0.2">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75" x14ac:dyDescent="0.2">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75" x14ac:dyDescent="0.2">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75" x14ac:dyDescent="0.2">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75" x14ac:dyDescent="0.2">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75" x14ac:dyDescent="0.2">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75" x14ac:dyDescent="0.2">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75" x14ac:dyDescent="0.2">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75" x14ac:dyDescent="0.2">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75" x14ac:dyDescent="0.2">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75" x14ac:dyDescent="0.2">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75" x14ac:dyDescent="0.2">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75" x14ac:dyDescent="0.2">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75" x14ac:dyDescent="0.2">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75" x14ac:dyDescent="0.2">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75" x14ac:dyDescent="0.2">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75" x14ac:dyDescent="0.2">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75" x14ac:dyDescent="0.2">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75" x14ac:dyDescent="0.2">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75" x14ac:dyDescent="0.2">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75" x14ac:dyDescent="0.2">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75" x14ac:dyDescent="0.2">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75" x14ac:dyDescent="0.2">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75" x14ac:dyDescent="0.2">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75" x14ac:dyDescent="0.2">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75" x14ac:dyDescent="0.2">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75" x14ac:dyDescent="0.2">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75" x14ac:dyDescent="0.2">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75" x14ac:dyDescent="0.2">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75" x14ac:dyDescent="0.2">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75" x14ac:dyDescent="0.2">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75" x14ac:dyDescent="0.2">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75" x14ac:dyDescent="0.2">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75" x14ac:dyDescent="0.2">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75" x14ac:dyDescent="0.2">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75" x14ac:dyDescent="0.2">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75" x14ac:dyDescent="0.2">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75" x14ac:dyDescent="0.2">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75" x14ac:dyDescent="0.2">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75" x14ac:dyDescent="0.2">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75" x14ac:dyDescent="0.2">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75" x14ac:dyDescent="0.2">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75" x14ac:dyDescent="0.2">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75" x14ac:dyDescent="0.2">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75" x14ac:dyDescent="0.2">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75" x14ac:dyDescent="0.2">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75" x14ac:dyDescent="0.2">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75" x14ac:dyDescent="0.2">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75" x14ac:dyDescent="0.2">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75" x14ac:dyDescent="0.2">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75" x14ac:dyDescent="0.2">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75" x14ac:dyDescent="0.2">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75" x14ac:dyDescent="0.2">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75" x14ac:dyDescent="0.2">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75" x14ac:dyDescent="0.2">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75" x14ac:dyDescent="0.2">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75" x14ac:dyDescent="0.2">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75" x14ac:dyDescent="0.2">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75" x14ac:dyDescent="0.2">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75" x14ac:dyDescent="0.2">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75" x14ac:dyDescent="0.2">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75" x14ac:dyDescent="0.2">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75" x14ac:dyDescent="0.2">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75" x14ac:dyDescent="0.2">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75" x14ac:dyDescent="0.2">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75" x14ac:dyDescent="0.2">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75" x14ac:dyDescent="0.2">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75" x14ac:dyDescent="0.2">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75" x14ac:dyDescent="0.2">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75" x14ac:dyDescent="0.2">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75" x14ac:dyDescent="0.2">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75" x14ac:dyDescent="0.2">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75" x14ac:dyDescent="0.2">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75" x14ac:dyDescent="0.2">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75" x14ac:dyDescent="0.2">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75" x14ac:dyDescent="0.2">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75" x14ac:dyDescent="0.2">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75" x14ac:dyDescent="0.2">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75" x14ac:dyDescent="0.2">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75" x14ac:dyDescent="0.2">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75" x14ac:dyDescent="0.2">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75" x14ac:dyDescent="0.2">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75" x14ac:dyDescent="0.2">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75" x14ac:dyDescent="0.2">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75" x14ac:dyDescent="0.2">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75" x14ac:dyDescent="0.2">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75" x14ac:dyDescent="0.2">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75" x14ac:dyDescent="0.2">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75" x14ac:dyDescent="0.2">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75" x14ac:dyDescent="0.2">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75" x14ac:dyDescent="0.2">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75" x14ac:dyDescent="0.2">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75" x14ac:dyDescent="0.2">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75" x14ac:dyDescent="0.2">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75" x14ac:dyDescent="0.2">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75" x14ac:dyDescent="0.2">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75" x14ac:dyDescent="0.2">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75" x14ac:dyDescent="0.2">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75" x14ac:dyDescent="0.2">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75" x14ac:dyDescent="0.2">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75" x14ac:dyDescent="0.2">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75" x14ac:dyDescent="0.2">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75" x14ac:dyDescent="0.2">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75" x14ac:dyDescent="0.2">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75" x14ac:dyDescent="0.2">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75" x14ac:dyDescent="0.2">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75" x14ac:dyDescent="0.2">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75" x14ac:dyDescent="0.2">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75" x14ac:dyDescent="0.2">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75" x14ac:dyDescent="0.2">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75" x14ac:dyDescent="0.2">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75" x14ac:dyDescent="0.2">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75" x14ac:dyDescent="0.2">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75" x14ac:dyDescent="0.2">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75" x14ac:dyDescent="0.2">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75" x14ac:dyDescent="0.2">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75" x14ac:dyDescent="0.2">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75" x14ac:dyDescent="0.2">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75" x14ac:dyDescent="0.2">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75" x14ac:dyDescent="0.2">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75" x14ac:dyDescent="0.2">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75" x14ac:dyDescent="0.2">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75" x14ac:dyDescent="0.2">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75" x14ac:dyDescent="0.2">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75" x14ac:dyDescent="0.2">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75" x14ac:dyDescent="0.2">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75" x14ac:dyDescent="0.2">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75" x14ac:dyDescent="0.2">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75" x14ac:dyDescent="0.2">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75" x14ac:dyDescent="0.2">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75" x14ac:dyDescent="0.2">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75" x14ac:dyDescent="0.2">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75" x14ac:dyDescent="0.2">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75" x14ac:dyDescent="0.2">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75" x14ac:dyDescent="0.2">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75" x14ac:dyDescent="0.2">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75" x14ac:dyDescent="0.2">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75" x14ac:dyDescent="0.2">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75" x14ac:dyDescent="0.2">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75" x14ac:dyDescent="0.2">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75" x14ac:dyDescent="0.2">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75" x14ac:dyDescent="0.2">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75" x14ac:dyDescent="0.2">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75" x14ac:dyDescent="0.2">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75" x14ac:dyDescent="0.2">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75" x14ac:dyDescent="0.2">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75" x14ac:dyDescent="0.2">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75" x14ac:dyDescent="0.2">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75" x14ac:dyDescent="0.2">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75" x14ac:dyDescent="0.2">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75" x14ac:dyDescent="0.2">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75" x14ac:dyDescent="0.2">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75" x14ac:dyDescent="0.2">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75" x14ac:dyDescent="0.2">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75" x14ac:dyDescent="0.2">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75" x14ac:dyDescent="0.2">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75" x14ac:dyDescent="0.2">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75" x14ac:dyDescent="0.2">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75" x14ac:dyDescent="0.2">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75" x14ac:dyDescent="0.2">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75" x14ac:dyDescent="0.2">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75" x14ac:dyDescent="0.2">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75" x14ac:dyDescent="0.2">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75" x14ac:dyDescent="0.2">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75" x14ac:dyDescent="0.2">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75" x14ac:dyDescent="0.2">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75" x14ac:dyDescent="0.2">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75" x14ac:dyDescent="0.2">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75" x14ac:dyDescent="0.2">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75" x14ac:dyDescent="0.2">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75" x14ac:dyDescent="0.2">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75" x14ac:dyDescent="0.2">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75" x14ac:dyDescent="0.2">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75" x14ac:dyDescent="0.2">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75" x14ac:dyDescent="0.2">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75" x14ac:dyDescent="0.2">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75" x14ac:dyDescent="0.2">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75" x14ac:dyDescent="0.2">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75" x14ac:dyDescent="0.2">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75" x14ac:dyDescent="0.2">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75" x14ac:dyDescent="0.2">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75" x14ac:dyDescent="0.2">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75" x14ac:dyDescent="0.2">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75" x14ac:dyDescent="0.2">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75" x14ac:dyDescent="0.2">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75" x14ac:dyDescent="0.2">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75" x14ac:dyDescent="0.2">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75" x14ac:dyDescent="0.2">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75" x14ac:dyDescent="0.2">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75" x14ac:dyDescent="0.2">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75" x14ac:dyDescent="0.2">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75" x14ac:dyDescent="0.2">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75" x14ac:dyDescent="0.2">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75" x14ac:dyDescent="0.2">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75" x14ac:dyDescent="0.2">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75" x14ac:dyDescent="0.2">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75" x14ac:dyDescent="0.2">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75" x14ac:dyDescent="0.2">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75" x14ac:dyDescent="0.2">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75" x14ac:dyDescent="0.2">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75" x14ac:dyDescent="0.2">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75" x14ac:dyDescent="0.2">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75" x14ac:dyDescent="0.2">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75" x14ac:dyDescent="0.2">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75" x14ac:dyDescent="0.2">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75" x14ac:dyDescent="0.2">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75" x14ac:dyDescent="0.2">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75" x14ac:dyDescent="0.2">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75" x14ac:dyDescent="0.2">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75" x14ac:dyDescent="0.2">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75" x14ac:dyDescent="0.2">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75" x14ac:dyDescent="0.2">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75" x14ac:dyDescent="0.2">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75" x14ac:dyDescent="0.2">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75" x14ac:dyDescent="0.2">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75" x14ac:dyDescent="0.2">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75" x14ac:dyDescent="0.2">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75" x14ac:dyDescent="0.2">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75" x14ac:dyDescent="0.2">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75" x14ac:dyDescent="0.2">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75" x14ac:dyDescent="0.2">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75" x14ac:dyDescent="0.2">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75" x14ac:dyDescent="0.2">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75" x14ac:dyDescent="0.2">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75" x14ac:dyDescent="0.2">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75" x14ac:dyDescent="0.2">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75" x14ac:dyDescent="0.2">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75" x14ac:dyDescent="0.2">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75" x14ac:dyDescent="0.2">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75" x14ac:dyDescent="0.2">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75" x14ac:dyDescent="0.2">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75" x14ac:dyDescent="0.2">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75" x14ac:dyDescent="0.2">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75" x14ac:dyDescent="0.2">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75" x14ac:dyDescent="0.2">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75" x14ac:dyDescent="0.2">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75" x14ac:dyDescent="0.2">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75" x14ac:dyDescent="0.2">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75" x14ac:dyDescent="0.2">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75" x14ac:dyDescent="0.2">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75" x14ac:dyDescent="0.2">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75" x14ac:dyDescent="0.2">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75" x14ac:dyDescent="0.2">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75" x14ac:dyDescent="0.2">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75" x14ac:dyDescent="0.2">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75" x14ac:dyDescent="0.2">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75" x14ac:dyDescent="0.2">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75" x14ac:dyDescent="0.2">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75" x14ac:dyDescent="0.2">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75" x14ac:dyDescent="0.2">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75" x14ac:dyDescent="0.2">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75" x14ac:dyDescent="0.2">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75" x14ac:dyDescent="0.2">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75" x14ac:dyDescent="0.2">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75" x14ac:dyDescent="0.2">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75" x14ac:dyDescent="0.2">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75" x14ac:dyDescent="0.2">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75" x14ac:dyDescent="0.2">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75" x14ac:dyDescent="0.2">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75" x14ac:dyDescent="0.2">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75" x14ac:dyDescent="0.2">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75" x14ac:dyDescent="0.2">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75" x14ac:dyDescent="0.2">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75" x14ac:dyDescent="0.2">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75" x14ac:dyDescent="0.2">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75" x14ac:dyDescent="0.2">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75" x14ac:dyDescent="0.2">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75" x14ac:dyDescent="0.2">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75" x14ac:dyDescent="0.2">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75" x14ac:dyDescent="0.2">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75" x14ac:dyDescent="0.2">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75" x14ac:dyDescent="0.2">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75" x14ac:dyDescent="0.2">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75" x14ac:dyDescent="0.2">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75" x14ac:dyDescent="0.2">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75" x14ac:dyDescent="0.2">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75" x14ac:dyDescent="0.2">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75" x14ac:dyDescent="0.2">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75" x14ac:dyDescent="0.2">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75" x14ac:dyDescent="0.2">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75" x14ac:dyDescent="0.2">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75" x14ac:dyDescent="0.2">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75" x14ac:dyDescent="0.2">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75" x14ac:dyDescent="0.2">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75" x14ac:dyDescent="0.2">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75" x14ac:dyDescent="0.2">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75" x14ac:dyDescent="0.2">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75" x14ac:dyDescent="0.2">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75" x14ac:dyDescent="0.2">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75" x14ac:dyDescent="0.2">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75" x14ac:dyDescent="0.2">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75" x14ac:dyDescent="0.2">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75" x14ac:dyDescent="0.2">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75" x14ac:dyDescent="0.2">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75" x14ac:dyDescent="0.2">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75" x14ac:dyDescent="0.2">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75" x14ac:dyDescent="0.2">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75" x14ac:dyDescent="0.2">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75" x14ac:dyDescent="0.2">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75" x14ac:dyDescent="0.2">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75" x14ac:dyDescent="0.2">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75" x14ac:dyDescent="0.2">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75" x14ac:dyDescent="0.2">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75" x14ac:dyDescent="0.2">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75" x14ac:dyDescent="0.2">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75" x14ac:dyDescent="0.2">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75" x14ac:dyDescent="0.2">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75" x14ac:dyDescent="0.2">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75" x14ac:dyDescent="0.2">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75" x14ac:dyDescent="0.2">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75" x14ac:dyDescent="0.2">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75" x14ac:dyDescent="0.2">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75" x14ac:dyDescent="0.2">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75" x14ac:dyDescent="0.2">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75" x14ac:dyDescent="0.2">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75" x14ac:dyDescent="0.2">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75" x14ac:dyDescent="0.2">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75" x14ac:dyDescent="0.2">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75" x14ac:dyDescent="0.2">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75" x14ac:dyDescent="0.2">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75" x14ac:dyDescent="0.2">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75" x14ac:dyDescent="0.2">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75" x14ac:dyDescent="0.2">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75" x14ac:dyDescent="0.2">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75" x14ac:dyDescent="0.2">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75" x14ac:dyDescent="0.2">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75" x14ac:dyDescent="0.2">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75" x14ac:dyDescent="0.2">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75" x14ac:dyDescent="0.2">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75" x14ac:dyDescent="0.2">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75" x14ac:dyDescent="0.2">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75" x14ac:dyDescent="0.2">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75" x14ac:dyDescent="0.2">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75" x14ac:dyDescent="0.2">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75" x14ac:dyDescent="0.2">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75" x14ac:dyDescent="0.2">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75" x14ac:dyDescent="0.2">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75" x14ac:dyDescent="0.2">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75" x14ac:dyDescent="0.2">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75" x14ac:dyDescent="0.2">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75" x14ac:dyDescent="0.2">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75" x14ac:dyDescent="0.2">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75" x14ac:dyDescent="0.2">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75" x14ac:dyDescent="0.2">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75" x14ac:dyDescent="0.2">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75" x14ac:dyDescent="0.2">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75" x14ac:dyDescent="0.2">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75" x14ac:dyDescent="0.2">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75" x14ac:dyDescent="0.2">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75" x14ac:dyDescent="0.2">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75" x14ac:dyDescent="0.2">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75" x14ac:dyDescent="0.2">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75" x14ac:dyDescent="0.2">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75" x14ac:dyDescent="0.2">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75" x14ac:dyDescent="0.2">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75" x14ac:dyDescent="0.2">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75" x14ac:dyDescent="0.2">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75" x14ac:dyDescent="0.2">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75" x14ac:dyDescent="0.2">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75" x14ac:dyDescent="0.2">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75" x14ac:dyDescent="0.2">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75" x14ac:dyDescent="0.2">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75" x14ac:dyDescent="0.2">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75" x14ac:dyDescent="0.2">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75" x14ac:dyDescent="0.2">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75" x14ac:dyDescent="0.2">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75" x14ac:dyDescent="0.2">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75" x14ac:dyDescent="0.2">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75" x14ac:dyDescent="0.2">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75" x14ac:dyDescent="0.2">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75" x14ac:dyDescent="0.2">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75" x14ac:dyDescent="0.2">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75" x14ac:dyDescent="0.2">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75" x14ac:dyDescent="0.2">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75" x14ac:dyDescent="0.2">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75" x14ac:dyDescent="0.2">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75" x14ac:dyDescent="0.2">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75" x14ac:dyDescent="0.2">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75" x14ac:dyDescent="0.2">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75" x14ac:dyDescent="0.2">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75" x14ac:dyDescent="0.2">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75" x14ac:dyDescent="0.2">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75" x14ac:dyDescent="0.2">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75" x14ac:dyDescent="0.2">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75" x14ac:dyDescent="0.2">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75" x14ac:dyDescent="0.2">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75" x14ac:dyDescent="0.2">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75" x14ac:dyDescent="0.2">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75" x14ac:dyDescent="0.2">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75" x14ac:dyDescent="0.2">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75" x14ac:dyDescent="0.2">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75" x14ac:dyDescent="0.2">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75" x14ac:dyDescent="0.2">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75" x14ac:dyDescent="0.2">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75" x14ac:dyDescent="0.2">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75" x14ac:dyDescent="0.2">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75" x14ac:dyDescent="0.2">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75" x14ac:dyDescent="0.2">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75" x14ac:dyDescent="0.2">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75" x14ac:dyDescent="0.2">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75" x14ac:dyDescent="0.2">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75" x14ac:dyDescent="0.2">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75" x14ac:dyDescent="0.2">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75" x14ac:dyDescent="0.2">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75" x14ac:dyDescent="0.2">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75" x14ac:dyDescent="0.2">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75" x14ac:dyDescent="0.2">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75" x14ac:dyDescent="0.2">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75" x14ac:dyDescent="0.2">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75" x14ac:dyDescent="0.2">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75" x14ac:dyDescent="0.2">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75" x14ac:dyDescent="0.2">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75" x14ac:dyDescent="0.2">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75" x14ac:dyDescent="0.2">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75" x14ac:dyDescent="0.2">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75" x14ac:dyDescent="0.2">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75" x14ac:dyDescent="0.2">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75" x14ac:dyDescent="0.2">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75" x14ac:dyDescent="0.2">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75" x14ac:dyDescent="0.2">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75" x14ac:dyDescent="0.2">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75" x14ac:dyDescent="0.2">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75" x14ac:dyDescent="0.2">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75" x14ac:dyDescent="0.2">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75" x14ac:dyDescent="0.2">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75" x14ac:dyDescent="0.2">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75" x14ac:dyDescent="0.2">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75" x14ac:dyDescent="0.2">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75" x14ac:dyDescent="0.2">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75" x14ac:dyDescent="0.2">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75" x14ac:dyDescent="0.2">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75" x14ac:dyDescent="0.2">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75" x14ac:dyDescent="0.2">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75" x14ac:dyDescent="0.2">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75" x14ac:dyDescent="0.2">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75" x14ac:dyDescent="0.2">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75" x14ac:dyDescent="0.2">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75" x14ac:dyDescent="0.2">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75" x14ac:dyDescent="0.2">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75" x14ac:dyDescent="0.2">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75" x14ac:dyDescent="0.2">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75" x14ac:dyDescent="0.2">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75" x14ac:dyDescent="0.2">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75" x14ac:dyDescent="0.2">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75" x14ac:dyDescent="0.2">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75" x14ac:dyDescent="0.2">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75" x14ac:dyDescent="0.2">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75" x14ac:dyDescent="0.2">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703125" defaultRowHeight="15.75" customHeight="1" x14ac:dyDescent="0.2"/>
  <cols>
    <col min="1" max="1" width="31.5703125" customWidth="1"/>
    <col min="5" max="5" width="21.7109375" customWidth="1"/>
  </cols>
  <sheetData>
    <row r="1" spans="1:13" ht="22.5" customHeight="1" x14ac:dyDescent="0.2">
      <c r="A1" s="91" t="s">
        <v>267</v>
      </c>
      <c r="B1" s="106" t="s">
        <v>269</v>
      </c>
      <c r="C1" s="109" t="s">
        <v>268</v>
      </c>
      <c r="D1" s="105" t="s">
        <v>309</v>
      </c>
      <c r="E1" s="91" t="s">
        <v>270</v>
      </c>
    </row>
    <row r="2" spans="1:13" ht="22.5" customHeight="1" x14ac:dyDescent="0.2">
      <c r="A2" s="92" t="s">
        <v>271</v>
      </c>
      <c r="B2" s="107">
        <v>5</v>
      </c>
      <c r="C2" s="110">
        <v>1</v>
      </c>
      <c r="D2">
        <f>Table3[[#This Row],[Real]]/Table3[[#This Row],[Spiel]]</f>
        <v>5</v>
      </c>
      <c r="E2" s="92" t="s">
        <v>272</v>
      </c>
    </row>
    <row r="3" spans="1:13" ht="22.5" customHeight="1" x14ac:dyDescent="0.2">
      <c r="A3" s="93" t="s">
        <v>273</v>
      </c>
      <c r="B3" s="107">
        <v>1000</v>
      </c>
      <c r="C3" s="110">
        <v>1</v>
      </c>
      <c r="D3">
        <f>Table3[[#This Row],[Real]]/Table3[[#This Row],[Spiel]]</f>
        <v>1000</v>
      </c>
      <c r="E3" s="92" t="s">
        <v>274</v>
      </c>
    </row>
    <row r="4" spans="1:13" ht="22.5" customHeight="1" x14ac:dyDescent="0.2">
      <c r="A4" s="93" t="s">
        <v>275</v>
      </c>
      <c r="B4" s="107">
        <v>1</v>
      </c>
      <c r="C4" s="110">
        <v>1</v>
      </c>
      <c r="D4">
        <f>Table3[[#This Row],[Real]]/Table3[[#This Row],[Spiel]]</f>
        <v>1</v>
      </c>
      <c r="E4" s="103" t="s">
        <v>306</v>
      </c>
    </row>
    <row r="5" spans="1:13" ht="22.5" customHeight="1" x14ac:dyDescent="0.2">
      <c r="A5" s="93" t="s">
        <v>4</v>
      </c>
      <c r="B5" s="108">
        <v>10000</v>
      </c>
      <c r="C5" s="110">
        <v>1</v>
      </c>
      <c r="D5">
        <f>Table3[[#This Row],[Real]]/Table3[[#This Row],[Spiel]]</f>
        <v>10000</v>
      </c>
      <c r="E5" s="104" t="s">
        <v>311</v>
      </c>
    </row>
    <row r="6" spans="1:13" ht="22.5" customHeight="1" x14ac:dyDescent="0.2">
      <c r="A6" s="93" t="s">
        <v>5</v>
      </c>
      <c r="B6" s="108">
        <v>1</v>
      </c>
      <c r="C6" s="110">
        <v>1</v>
      </c>
      <c r="D6">
        <f>Table3[[#This Row],[Real]]/Table3[[#This Row],[Spiel]]</f>
        <v>1</v>
      </c>
      <c r="E6" s="104" t="s">
        <v>308</v>
      </c>
    </row>
    <row r="7" spans="1:13" ht="22.5" customHeight="1" x14ac:dyDescent="0.2">
      <c r="A7" s="93" t="s">
        <v>7</v>
      </c>
      <c r="B7" s="108">
        <v>5</v>
      </c>
      <c r="C7" s="110">
        <v>1</v>
      </c>
      <c r="D7">
        <f>Table3[[#This Row],[Real]]/Table3[[#This Row],[Spiel]]</f>
        <v>5</v>
      </c>
      <c r="E7" s="104" t="s">
        <v>310</v>
      </c>
      <c r="G7" s="94"/>
      <c r="H7" s="94"/>
      <c r="I7" s="94"/>
      <c r="J7" s="94"/>
      <c r="K7" s="94"/>
      <c r="L7" s="94"/>
      <c r="M7" s="94"/>
    </row>
    <row r="8" spans="1:13" ht="22.5" customHeight="1" x14ac:dyDescent="0.2">
      <c r="A8" s="93" t="s">
        <v>8</v>
      </c>
      <c r="B8" s="108">
        <v>5</v>
      </c>
      <c r="C8" s="110">
        <v>1</v>
      </c>
      <c r="D8">
        <f>Table3[[#This Row],[Real]]/Table3[[#This Row],[Spiel]]</f>
        <v>5</v>
      </c>
      <c r="E8" s="104" t="s">
        <v>310</v>
      </c>
      <c r="G8" s="94"/>
      <c r="H8" s="94"/>
      <c r="I8" s="94"/>
      <c r="J8" s="94"/>
      <c r="K8" s="94"/>
      <c r="L8" s="94"/>
      <c r="M8" s="94"/>
    </row>
    <row r="9" spans="1:13" ht="22.5" customHeight="1" x14ac:dyDescent="0.2">
      <c r="A9" s="93" t="s">
        <v>9</v>
      </c>
      <c r="B9" s="108">
        <v>5</v>
      </c>
      <c r="C9" s="110">
        <v>1</v>
      </c>
      <c r="D9">
        <f>Table3[[#This Row],[Real]]/Table3[[#This Row],[Spiel]]</f>
        <v>5</v>
      </c>
      <c r="E9" s="104" t="s">
        <v>310</v>
      </c>
    </row>
    <row r="10" spans="1:13" ht="22.5" customHeight="1" x14ac:dyDescent="0.2">
      <c r="A10" s="93" t="s">
        <v>276</v>
      </c>
      <c r="B10" s="107">
        <v>5</v>
      </c>
      <c r="C10" s="110">
        <v>1</v>
      </c>
      <c r="D10">
        <f>Table3[[#This Row],[Real]]/Table3[[#This Row],[Spiel]]</f>
        <v>5</v>
      </c>
      <c r="E10" s="104" t="s">
        <v>310</v>
      </c>
    </row>
    <row r="11" spans="1:13" ht="22.5" customHeight="1" x14ac:dyDescent="0.2">
      <c r="A11" s="93" t="s">
        <v>336</v>
      </c>
      <c r="B11" s="107">
        <v>20</v>
      </c>
      <c r="C11" s="110">
        <v>1</v>
      </c>
      <c r="D11">
        <f>Table3[[#This Row],[Real]]/Table3[[#This Row],[Spiel]]</f>
        <v>20</v>
      </c>
      <c r="E11" s="104" t="s">
        <v>310</v>
      </c>
    </row>
    <row r="12" spans="1:13" ht="22.5" customHeight="1" x14ac:dyDescent="0.2">
      <c r="A12" s="93" t="s">
        <v>11</v>
      </c>
      <c r="B12" s="108">
        <v>1</v>
      </c>
      <c r="C12" s="110">
        <v>1</v>
      </c>
      <c r="D12">
        <f>Table3[[#This Row],[Real]]/Table3[[#This Row],[Spiel]]</f>
        <v>1</v>
      </c>
    </row>
    <row r="13" spans="1:13" ht="15.75" customHeight="1" x14ac:dyDescent="0.2">
      <c r="A13" t="s">
        <v>318</v>
      </c>
      <c r="B13" s="107">
        <v>0.1</v>
      </c>
      <c r="C13" s="113">
        <v>1</v>
      </c>
      <c r="D13">
        <f>Table3[[#This Row],[Real]]/Table3[[#This Row],[Spiel]]</f>
        <v>0.1</v>
      </c>
      <c r="E13" t="s">
        <v>324</v>
      </c>
    </row>
    <row r="14" spans="1:13" ht="15.75" customHeight="1" x14ac:dyDescent="0.2">
      <c r="A14" t="s">
        <v>319</v>
      </c>
      <c r="B14" s="107">
        <v>0.05</v>
      </c>
      <c r="C14" s="113">
        <v>1</v>
      </c>
      <c r="D14">
        <f>Table3[[#This Row],[Real]]/Table3[[#This Row],[Spiel]]</f>
        <v>0.05</v>
      </c>
      <c r="E14" t="s">
        <v>324</v>
      </c>
    </row>
    <row r="15" spans="1:13" ht="15.75" customHeight="1" x14ac:dyDescent="0.2">
      <c r="A15" t="s">
        <v>320</v>
      </c>
      <c r="B15" s="107">
        <v>0.03</v>
      </c>
      <c r="C15" s="113">
        <v>1</v>
      </c>
      <c r="D15">
        <f>Table3[[#This Row],[Real]]/Table3[[#This Row],[Spiel]]</f>
        <v>0.03</v>
      </c>
      <c r="E15" t="s">
        <v>324</v>
      </c>
    </row>
    <row r="16" spans="1:13" ht="15.75" customHeight="1" x14ac:dyDescent="0.2">
      <c r="A16" t="s">
        <v>321</v>
      </c>
      <c r="B16" s="107">
        <v>1.4999999999999999E-2</v>
      </c>
      <c r="C16" s="113">
        <v>1</v>
      </c>
      <c r="D16">
        <f>Table3[[#This Row],[Real]]/Table3[[#This Row],[Spiel]]</f>
        <v>1.4999999999999999E-2</v>
      </c>
      <c r="E16" t="s">
        <v>324</v>
      </c>
    </row>
    <row r="17" spans="1:5" ht="15.75" customHeight="1" x14ac:dyDescent="0.2">
      <c r="A17" t="s">
        <v>322</v>
      </c>
      <c r="B17" s="107">
        <v>0</v>
      </c>
      <c r="C17" s="113">
        <v>1</v>
      </c>
      <c r="D17">
        <f>Table3[[#This Row],[Real]]/Table3[[#This Row],[Spiel]]</f>
        <v>0</v>
      </c>
      <c r="E17" t="s">
        <v>324</v>
      </c>
    </row>
    <row r="18" spans="1:5" ht="15.75" customHeight="1" x14ac:dyDescent="0.2">
      <c r="A18" t="s">
        <v>318</v>
      </c>
      <c r="B18" s="112"/>
      <c r="C18" s="113"/>
    </row>
    <row r="19" spans="1:5" ht="15.75" customHeight="1" x14ac:dyDescent="0.2">
      <c r="A19" t="s">
        <v>319</v>
      </c>
      <c r="B19" s="112"/>
      <c r="C19" s="113"/>
    </row>
    <row r="20" spans="1:5" ht="15.75" customHeight="1" x14ac:dyDescent="0.2">
      <c r="A20" t="s">
        <v>320</v>
      </c>
      <c r="B20" s="112"/>
      <c r="C20" s="113"/>
    </row>
    <row r="21" spans="1:5" ht="15.75" customHeight="1" x14ac:dyDescent="0.2">
      <c r="A21" t="s">
        <v>321</v>
      </c>
      <c r="B21" s="112"/>
      <c r="C21" s="113"/>
    </row>
    <row r="22" spans="1:5" ht="15.75" customHeight="1" x14ac:dyDescent="0.2">
      <c r="A22" t="s">
        <v>322</v>
      </c>
      <c r="B22" s="112"/>
      <c r="C22" s="113"/>
    </row>
    <row r="23" spans="1:5" ht="15.75" customHeight="1" x14ac:dyDescent="0.2">
      <c r="A23" t="s">
        <v>330</v>
      </c>
      <c r="B23" s="107">
        <v>0.1</v>
      </c>
      <c r="C23" s="113">
        <v>0.2</v>
      </c>
      <c r="D23">
        <f>Table3[[#This Row],[Real]]/Table3[[#This Row],[Spiel]]</f>
        <v>0.5</v>
      </c>
      <c r="E23" t="s">
        <v>335</v>
      </c>
    </row>
    <row r="24" spans="1:5" ht="15.75" customHeight="1" x14ac:dyDescent="0.2">
      <c r="A24" t="s">
        <v>331</v>
      </c>
      <c r="B24" s="107">
        <v>0.08</v>
      </c>
      <c r="C24" s="113">
        <v>0.2</v>
      </c>
      <c r="D24">
        <f>Table3[[#This Row],[Real]]/Table3[[#This Row],[Spiel]]</f>
        <v>0.39999999999999997</v>
      </c>
      <c r="E24" t="s">
        <v>335</v>
      </c>
    </row>
    <row r="25" spans="1:5" ht="15.75" customHeight="1" x14ac:dyDescent="0.2">
      <c r="A25" t="s">
        <v>332</v>
      </c>
      <c r="B25" s="107">
        <v>0.2</v>
      </c>
      <c r="C25" s="113">
        <v>0.2</v>
      </c>
      <c r="D25">
        <f>Table3[[#This Row],[Real]]/Table3[[#This Row],[Spiel]]</f>
        <v>1</v>
      </c>
      <c r="E25" t="s">
        <v>335</v>
      </c>
    </row>
    <row r="26" spans="1:5" ht="15.75" customHeight="1" x14ac:dyDescent="0.2">
      <c r="A26" t="s">
        <v>333</v>
      </c>
      <c r="B26" s="107">
        <v>0.5</v>
      </c>
      <c r="C26" s="113">
        <v>0.2</v>
      </c>
      <c r="D26">
        <f>Table3[[#This Row],[Real]]/Table3[[#This Row],[Spiel]]</f>
        <v>2.5</v>
      </c>
      <c r="E26" t="s">
        <v>335</v>
      </c>
    </row>
    <row r="27" spans="1:5" ht="15.75" customHeight="1" x14ac:dyDescent="0.2">
      <c r="A27" t="s">
        <v>334</v>
      </c>
      <c r="B27" s="107">
        <v>0.15</v>
      </c>
      <c r="C27" s="113">
        <v>0.2</v>
      </c>
      <c r="D27">
        <f>Table3[[#This Row],[Real]]/Table3[[#This Row],[Spiel]]</f>
        <v>0.74999999999999989</v>
      </c>
      <c r="E27" t="s">
        <v>335</v>
      </c>
    </row>
    <row r="28" spans="1:5" ht="15.75" customHeight="1" x14ac:dyDescent="0.2">
      <c r="A28" t="s">
        <v>337</v>
      </c>
      <c r="B28" s="122"/>
      <c r="C28" s="113">
        <v>2</v>
      </c>
    </row>
    <row r="29" spans="1:5" ht="15.75" customHeight="1" x14ac:dyDescent="0.2">
      <c r="A29" t="s">
        <v>338</v>
      </c>
      <c r="B29" s="107">
        <v>1</v>
      </c>
      <c r="C29" s="113">
        <v>1</v>
      </c>
      <c r="D29">
        <f>Table3[[#This Row],[Real]]/Table3[[#This Row],[Spiel]]</f>
        <v>1</v>
      </c>
    </row>
    <row r="30" spans="1:5" ht="15.75" customHeight="1" x14ac:dyDescent="0.2">
      <c r="A30" t="s">
        <v>339</v>
      </c>
      <c r="B30" s="107">
        <v>2</v>
      </c>
      <c r="C30" s="113">
        <v>1</v>
      </c>
      <c r="D30">
        <f>Table3[[#This Row],[Real]]/Table3[[#This Row],[Spiel]]</f>
        <v>2</v>
      </c>
    </row>
    <row r="31" spans="1:5" ht="15.75" customHeight="1" x14ac:dyDescent="0.2">
      <c r="A31" t="s">
        <v>340</v>
      </c>
      <c r="B31" s="107">
        <v>2.5</v>
      </c>
      <c r="C31" s="113">
        <v>1</v>
      </c>
      <c r="D31">
        <f>Table3[[#This Row],[Real]]/Table3[[#This Row],[Spiel]]</f>
        <v>2.5</v>
      </c>
    </row>
    <row r="32" spans="1:5" ht="15.75" customHeight="1" x14ac:dyDescent="0.2">
      <c r="A32" t="s">
        <v>341</v>
      </c>
      <c r="B32" s="107">
        <v>3.3330000000000002</v>
      </c>
      <c r="C32" s="113">
        <v>1</v>
      </c>
      <c r="D32">
        <f>Table3[[#This Row],[Real]]/Table3[[#This Row],[Spiel]]</f>
        <v>3.3330000000000002</v>
      </c>
    </row>
    <row r="33" spans="1:4" ht="15.75" customHeight="1" x14ac:dyDescent="0.2">
      <c r="A33" t="s">
        <v>342</v>
      </c>
      <c r="B33" s="107">
        <v>4.5454499999999998</v>
      </c>
      <c r="C33" s="113">
        <v>1</v>
      </c>
      <c r="D33">
        <f>Table3[[#This Row],[Real]]/Table3[[#This Row],[Spiel]]</f>
        <v>4.5454499999999998</v>
      </c>
    </row>
    <row r="34" spans="1:4" ht="15.75" customHeight="1" x14ac:dyDescent="0.2">
      <c r="A34" t="s">
        <v>343</v>
      </c>
      <c r="B34" s="107">
        <v>6.66</v>
      </c>
      <c r="C34" s="113">
        <v>1</v>
      </c>
      <c r="D34">
        <f>Table3[[#This Row],[Real]]/Table3[[#This Row],[Spiel]]</f>
        <v>6.66</v>
      </c>
    </row>
    <row r="35" spans="1:4" ht="15.75" customHeight="1" x14ac:dyDescent="0.2">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9" sqref="B9"/>
    </sheetView>
  </sheetViews>
  <sheetFormatPr baseColWidth="10" defaultColWidth="12.5703125" defaultRowHeight="15.75" customHeight="1" x14ac:dyDescent="0.2"/>
  <cols>
    <col min="1" max="1" width="17.5703125" customWidth="1"/>
    <col min="2" max="2" width="17.28515625" customWidth="1"/>
    <col min="3" max="3" width="17.7109375" customWidth="1"/>
    <col min="4" max="13" width="7.7109375" customWidth="1"/>
  </cols>
  <sheetData>
    <row r="1" spans="1:13" ht="44.25" customHeight="1" x14ac:dyDescent="0.2">
      <c r="A1" s="91" t="s">
        <v>267</v>
      </c>
      <c r="B1" s="91" t="s">
        <v>277</v>
      </c>
      <c r="C1" s="95" t="s">
        <v>278</v>
      </c>
      <c r="D1" s="96" t="s">
        <v>279</v>
      </c>
      <c r="E1" s="96" t="s">
        <v>280</v>
      </c>
      <c r="F1" s="96" t="s">
        <v>281</v>
      </c>
      <c r="G1" s="96" t="s">
        <v>282</v>
      </c>
      <c r="H1" s="96" t="s">
        <v>283</v>
      </c>
      <c r="I1" s="96" t="s">
        <v>284</v>
      </c>
      <c r="J1" s="96" t="s">
        <v>285</v>
      </c>
      <c r="K1" s="96" t="s">
        <v>286</v>
      </c>
      <c r="L1" s="96" t="s">
        <v>287</v>
      </c>
      <c r="M1" s="96" t="s">
        <v>288</v>
      </c>
    </row>
    <row r="2" spans="1:13" ht="22.5" customHeight="1" x14ac:dyDescent="0.2">
      <c r="A2" s="92" t="s">
        <v>289</v>
      </c>
      <c r="B2" s="92">
        <v>9</v>
      </c>
      <c r="C2" s="92" t="s">
        <v>290</v>
      </c>
      <c r="D2" s="92">
        <v>-45</v>
      </c>
      <c r="E2" s="92">
        <v>-40</v>
      </c>
      <c r="F2" s="92">
        <v>-35</v>
      </c>
      <c r="G2" s="92">
        <v>-30</v>
      </c>
      <c r="H2" s="92">
        <v>-25</v>
      </c>
      <c r="I2" s="92">
        <v>-20</v>
      </c>
      <c r="J2" s="92">
        <v>-15</v>
      </c>
      <c r="K2" s="92">
        <v>-10</v>
      </c>
      <c r="L2" s="92">
        <v>-5</v>
      </c>
      <c r="M2" s="92">
        <v>0</v>
      </c>
    </row>
    <row r="3" spans="1:13" ht="22.5" customHeight="1" x14ac:dyDescent="0.2">
      <c r="A3" s="92" t="s">
        <v>7</v>
      </c>
      <c r="B3" s="92">
        <v>4</v>
      </c>
      <c r="C3" s="97" t="s">
        <v>276</v>
      </c>
      <c r="D3" s="92">
        <v>4</v>
      </c>
      <c r="E3" s="92">
        <v>5</v>
      </c>
      <c r="F3" s="92">
        <v>6</v>
      </c>
      <c r="G3" s="92">
        <v>7</v>
      </c>
      <c r="H3" s="92">
        <v>8</v>
      </c>
      <c r="I3" s="92">
        <v>9</v>
      </c>
      <c r="J3" s="92">
        <v>10</v>
      </c>
      <c r="K3" s="92">
        <v>11</v>
      </c>
      <c r="L3" s="92">
        <v>12</v>
      </c>
      <c r="M3" s="92">
        <v>13</v>
      </c>
    </row>
    <row r="4" spans="1:13" ht="22.5" customHeight="1" x14ac:dyDescent="0.2">
      <c r="A4" s="92" t="s">
        <v>8</v>
      </c>
      <c r="B4" s="92">
        <v>0</v>
      </c>
      <c r="C4" s="97" t="s">
        <v>276</v>
      </c>
      <c r="D4" s="92">
        <v>0</v>
      </c>
      <c r="E4" s="92">
        <v>0</v>
      </c>
      <c r="F4" s="92">
        <v>-1</v>
      </c>
      <c r="G4" s="92">
        <v>-1</v>
      </c>
      <c r="H4" s="92">
        <v>-2</v>
      </c>
      <c r="I4" s="92">
        <v>-2</v>
      </c>
      <c r="J4" s="92">
        <v>-3</v>
      </c>
      <c r="K4" s="92">
        <v>-3</v>
      </c>
      <c r="L4" s="92">
        <v>-4</v>
      </c>
      <c r="M4" s="92">
        <v>-4</v>
      </c>
    </row>
    <row r="5" spans="1:13" ht="22.5" customHeight="1" x14ac:dyDescent="0.2">
      <c r="A5" s="92" t="s">
        <v>9</v>
      </c>
      <c r="B5" s="92">
        <v>0</v>
      </c>
      <c r="C5" s="97" t="s">
        <v>276</v>
      </c>
      <c r="D5" s="92">
        <v>0</v>
      </c>
      <c r="E5" s="92">
        <v>-1</v>
      </c>
      <c r="F5" s="92">
        <v>-2</v>
      </c>
      <c r="G5" s="92">
        <v>-3</v>
      </c>
      <c r="H5" s="92">
        <v>-4</v>
      </c>
      <c r="I5" s="92">
        <v>-5</v>
      </c>
      <c r="J5" s="92">
        <v>-6</v>
      </c>
      <c r="K5" s="92">
        <v>-7</v>
      </c>
      <c r="L5" s="92">
        <v>-8</v>
      </c>
      <c r="M5" s="92">
        <v>-9</v>
      </c>
    </row>
    <row r="6" spans="1:13" ht="22.5" customHeight="1" x14ac:dyDescent="0.2">
      <c r="A6" s="92" t="s">
        <v>12</v>
      </c>
      <c r="B6" s="92">
        <v>3</v>
      </c>
      <c r="C6" s="97" t="s">
        <v>291</v>
      </c>
      <c r="D6" s="92">
        <v>2</v>
      </c>
      <c r="E6" s="92">
        <v>3</v>
      </c>
      <c r="F6" s="92">
        <v>3</v>
      </c>
      <c r="G6" s="92">
        <v>4</v>
      </c>
      <c r="H6" s="92">
        <v>4</v>
      </c>
      <c r="I6" s="92">
        <v>5</v>
      </c>
      <c r="J6" s="92">
        <v>5</v>
      </c>
      <c r="K6" s="92">
        <v>6</v>
      </c>
      <c r="L6" s="92">
        <v>6</v>
      </c>
      <c r="M6" s="92">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2.5703125" customWidth="1"/>
  </cols>
  <sheetData>
    <row r="1" spans="1:12" ht="22.5" customHeight="1" x14ac:dyDescent="0.2">
      <c r="A1" s="91" t="s">
        <v>292</v>
      </c>
      <c r="B1" s="105" t="s">
        <v>317</v>
      </c>
      <c r="C1" s="111" t="s">
        <v>312</v>
      </c>
      <c r="D1" s="111" t="s">
        <v>313</v>
      </c>
      <c r="E1" s="111" t="s">
        <v>314</v>
      </c>
      <c r="F1" s="111" t="s">
        <v>315</v>
      </c>
      <c r="G1" s="111" t="s">
        <v>316</v>
      </c>
      <c r="H1" s="109" t="s">
        <v>293</v>
      </c>
      <c r="I1" s="109" t="s">
        <v>294</v>
      </c>
      <c r="J1" s="109" t="s">
        <v>295</v>
      </c>
      <c r="K1" s="109" t="s">
        <v>67</v>
      </c>
      <c r="L1" s="109" t="s">
        <v>296</v>
      </c>
    </row>
    <row r="2" spans="1:12" ht="22.5" customHeight="1" x14ac:dyDescent="0.2">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x14ac:dyDescent="0.2">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x14ac:dyDescent="0.2">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x14ac:dyDescent="0.2">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x14ac:dyDescent="0.2">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x14ac:dyDescent="0.2">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x14ac:dyDescent="0.2">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x14ac:dyDescent="0.2">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x14ac:dyDescent="0.2">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x14ac:dyDescent="0.2">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8.28515625" customWidth="1"/>
  </cols>
  <sheetData>
    <row r="1" spans="1:12" ht="22.5" customHeight="1" x14ac:dyDescent="0.2">
      <c r="A1" s="91" t="s">
        <v>292</v>
      </c>
      <c r="B1" s="91" t="s">
        <v>317</v>
      </c>
      <c r="C1" s="115" t="s">
        <v>312</v>
      </c>
      <c r="D1" s="115" t="s">
        <v>313</v>
      </c>
      <c r="E1" s="115" t="s">
        <v>314</v>
      </c>
      <c r="F1" s="115" t="s">
        <v>315</v>
      </c>
      <c r="G1" s="115" t="s">
        <v>316</v>
      </c>
      <c r="H1" s="109" t="s">
        <v>293</v>
      </c>
      <c r="I1" s="109" t="s">
        <v>294</v>
      </c>
      <c r="J1" s="109" t="s">
        <v>295</v>
      </c>
      <c r="K1" s="109" t="s">
        <v>67</v>
      </c>
      <c r="L1" s="109" t="s">
        <v>296</v>
      </c>
    </row>
    <row r="2" spans="1:12" ht="22.5" customHeight="1" x14ac:dyDescent="0.2">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f>-Table6_2[[#This Row],[Gas Real]]*'Mapping RealwerteSpielwerte'!$C$23+heizkosten_baseline</f>
        <v>-2</v>
      </c>
      <c r="I2" s="98">
        <f>-Table6_2[[#This Row],[Biomasse Real]]*'Mapping RealwerteSpielwerte'!$C$24+heizkosten_baseline</f>
        <v>-1.2000000000000002</v>
      </c>
      <c r="J2" s="98">
        <f>-Table6_2[[#This Row],[Fernwärme Real]]*'Mapping RealwerteSpielwerte'!$C$25+heizkosten_baseline</f>
        <v>-6</v>
      </c>
      <c r="K2" s="98">
        <f>-Table6_2[[#This Row],[Grünes Gas Real]]*'Mapping RealwerteSpielwerte'!$C$26+heizkosten_baseline</f>
        <v>-18</v>
      </c>
      <c r="L2" s="98">
        <f>-Table6_2[[#This Row],[Wärmepumpe Real]]*'Mapping RealwerteSpielwerte'!$C$27+heizkosten_baseline</f>
        <v>2</v>
      </c>
    </row>
    <row r="3" spans="1:12" ht="22.5" customHeight="1" x14ac:dyDescent="0.2">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f>-Table6_2[[#This Row],[Gas Real]]*'Mapping RealwerteSpielwerte'!$C$23+heizkosten_baseline</f>
        <v>-1.6</v>
      </c>
      <c r="I3" s="98">
        <f>-Table6_2[[#This Row],[Biomasse Real]]*'Mapping RealwerteSpielwerte'!$C$24+heizkosten_baseline</f>
        <v>-0.88000000000000034</v>
      </c>
      <c r="J3" s="98">
        <f>-Table6_2[[#This Row],[Fernwärme Real]]*'Mapping RealwerteSpielwerte'!$C$25+heizkosten_baseline</f>
        <v>-5.2</v>
      </c>
      <c r="K3" s="98">
        <f>-Table6_2[[#This Row],[Grünes Gas Real]]*'Mapping RealwerteSpielwerte'!$C$26+heizkosten_baseline</f>
        <v>-16</v>
      </c>
      <c r="L3" s="98">
        <f>-Table6_2[[#This Row],[Wärmepumpe Real]]*'Mapping RealwerteSpielwerte'!$C$27+heizkosten_baseline</f>
        <v>2</v>
      </c>
    </row>
    <row r="4" spans="1:12" ht="22.5" customHeight="1" x14ac:dyDescent="0.2">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f>-Table6_2[[#This Row],[Gas Real]]*'Mapping RealwerteSpielwerte'!$C$23+heizkosten_baseline</f>
        <v>-1.2000000000000002</v>
      </c>
      <c r="I4" s="98">
        <f>-Table6_2[[#This Row],[Biomasse Real]]*'Mapping RealwerteSpielwerte'!$C$24+heizkosten_baseline</f>
        <v>-0.5600000000000005</v>
      </c>
      <c r="J4" s="98">
        <f>-Table6_2[[#This Row],[Fernwärme Real]]*'Mapping RealwerteSpielwerte'!$C$25+heizkosten_baseline</f>
        <v>-4.4000000000000004</v>
      </c>
      <c r="K4" s="98">
        <f>-Table6_2[[#This Row],[Grünes Gas Real]]*'Mapping RealwerteSpielwerte'!$C$26+heizkosten_baseline</f>
        <v>-14</v>
      </c>
      <c r="L4" s="98">
        <f>-Table6_2[[#This Row],[Wärmepumpe Real]]*'Mapping RealwerteSpielwerte'!$C$27+heizkosten_baseline</f>
        <v>2</v>
      </c>
    </row>
    <row r="5" spans="1:12" ht="22.5" customHeight="1" x14ac:dyDescent="0.2">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f>-Table6_2[[#This Row],[Gas Real]]*'Mapping RealwerteSpielwerte'!$C$23+heizkosten_baseline</f>
        <v>-0.80000000000000027</v>
      </c>
      <c r="I5" s="98">
        <f>-Table6_2[[#This Row],[Biomasse Real]]*'Mapping RealwerteSpielwerte'!$C$24+heizkosten_baseline</f>
        <v>-0.24000000000000021</v>
      </c>
      <c r="J5" s="98">
        <f>-Table6_2[[#This Row],[Fernwärme Real]]*'Mapping RealwerteSpielwerte'!$C$25+heizkosten_baseline</f>
        <v>-3.6000000000000005</v>
      </c>
      <c r="K5" s="98">
        <f>-Table6_2[[#This Row],[Grünes Gas Real]]*'Mapping RealwerteSpielwerte'!$C$26+heizkosten_baseline</f>
        <v>-12</v>
      </c>
      <c r="L5" s="98">
        <f>-Table6_2[[#This Row],[Wärmepumpe Real]]*'Mapping RealwerteSpielwerte'!$C$27+heizkosten_baseline</f>
        <v>2</v>
      </c>
    </row>
    <row r="6" spans="1:12" ht="22.5" customHeight="1" x14ac:dyDescent="0.2">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f>-Table6_2[[#This Row],[Gas Real]]*'Mapping RealwerteSpielwerte'!$C$23+heizkosten_baseline</f>
        <v>-0.40000000000000036</v>
      </c>
      <c r="I6" s="98">
        <f>-Table6_2[[#This Row],[Biomasse Real]]*'Mapping RealwerteSpielwerte'!$C$24+heizkosten_baseline</f>
        <v>8.0000000000000071E-2</v>
      </c>
      <c r="J6" s="98">
        <f>-Table6_2[[#This Row],[Fernwärme Real]]*'Mapping RealwerteSpielwerte'!$C$25+heizkosten_baseline</f>
        <v>-2.8000000000000007</v>
      </c>
      <c r="K6" s="98">
        <f>-Table6_2[[#This Row],[Grünes Gas Real]]*'Mapping RealwerteSpielwerte'!$C$26+heizkosten_baseline</f>
        <v>-10</v>
      </c>
      <c r="L6" s="98">
        <f>-Table6_2[[#This Row],[Wärmepumpe Real]]*'Mapping RealwerteSpielwerte'!$C$27+heizkosten_baseline</f>
        <v>2</v>
      </c>
    </row>
    <row r="7" spans="1:12" ht="22.5" customHeight="1" x14ac:dyDescent="0.2">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f>-Table6_2[[#This Row],[Gas Real]]*'Mapping RealwerteSpielwerte'!$C$23+heizkosten_baseline</f>
        <v>0</v>
      </c>
      <c r="I7" s="98">
        <f>-Table6_2[[#This Row],[Biomasse Real]]*'Mapping RealwerteSpielwerte'!$C$24+heizkosten_baseline</f>
        <v>0.39999999999999991</v>
      </c>
      <c r="J7" s="98">
        <f>-Table6_2[[#This Row],[Fernwärme Real]]*'Mapping RealwerteSpielwerte'!$C$25+heizkosten_baseline</f>
        <v>-2</v>
      </c>
      <c r="K7" s="98">
        <f>-Table6_2[[#This Row],[Grünes Gas Real]]*'Mapping RealwerteSpielwerte'!$C$26+heizkosten_baseline</f>
        <v>-8</v>
      </c>
      <c r="L7" s="98">
        <f>-Table6_2[[#This Row],[Wärmepumpe Real]]*'Mapping RealwerteSpielwerte'!$C$27+heizkosten_baseline</f>
        <v>2</v>
      </c>
    </row>
    <row r="8" spans="1:12" ht="22.5" customHeight="1" x14ac:dyDescent="0.2">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f>-Table6_2[[#This Row],[Gas Real]]*'Mapping RealwerteSpielwerte'!$C$23+heizkosten_baseline</f>
        <v>0.39999999999999991</v>
      </c>
      <c r="I8" s="98">
        <f>-Table6_2[[#This Row],[Biomasse Real]]*'Mapping RealwerteSpielwerte'!$C$24+heizkosten_baseline</f>
        <v>0.71999999999999975</v>
      </c>
      <c r="J8" s="98">
        <f>-Table6_2[[#This Row],[Fernwärme Real]]*'Mapping RealwerteSpielwerte'!$C$25+heizkosten_baseline</f>
        <v>-1.2000000000000002</v>
      </c>
      <c r="K8" s="98">
        <f>-Table6_2[[#This Row],[Grünes Gas Real]]*'Mapping RealwerteSpielwerte'!$C$26+heizkosten_baseline</f>
        <v>-6</v>
      </c>
      <c r="L8" s="98">
        <f>-Table6_2[[#This Row],[Wärmepumpe Real]]*'Mapping RealwerteSpielwerte'!$C$27+heizkosten_baseline</f>
        <v>2</v>
      </c>
    </row>
    <row r="9" spans="1:12" ht="22.5" customHeight="1" x14ac:dyDescent="0.2">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f>-Table6_2[[#This Row],[Gas Real]]*'Mapping RealwerteSpielwerte'!$C$23+heizkosten_baseline</f>
        <v>0.79999999999999982</v>
      </c>
      <c r="I9" s="98">
        <f>-Table6_2[[#This Row],[Biomasse Real]]*'Mapping RealwerteSpielwerte'!$C$24+heizkosten_baseline</f>
        <v>1.04</v>
      </c>
      <c r="J9" s="98">
        <f>-Table6_2[[#This Row],[Fernwärme Real]]*'Mapping RealwerteSpielwerte'!$C$25+heizkosten_baseline</f>
        <v>-0.40000000000000036</v>
      </c>
      <c r="K9" s="98">
        <f>-Table6_2[[#This Row],[Grünes Gas Real]]*'Mapping RealwerteSpielwerte'!$C$26+heizkosten_baseline</f>
        <v>-4</v>
      </c>
      <c r="L9" s="98">
        <f>-Table6_2[[#This Row],[Wärmepumpe Real]]*'Mapping RealwerteSpielwerte'!$C$27+heizkosten_baseline</f>
        <v>2</v>
      </c>
    </row>
    <row r="10" spans="1:12" ht="22.5" customHeight="1" x14ac:dyDescent="0.2">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f>-Table6_2[[#This Row],[Gas Real]]*'Mapping RealwerteSpielwerte'!$C$23+heizkosten_baseline</f>
        <v>1.2</v>
      </c>
      <c r="I10" s="98">
        <f>-Table6_2[[#This Row],[Biomasse Real]]*'Mapping RealwerteSpielwerte'!$C$24+heizkosten_baseline</f>
        <v>1.3599999999999999</v>
      </c>
      <c r="J10" s="98">
        <f>-Table6_2[[#This Row],[Fernwärme Real]]*'Mapping RealwerteSpielwerte'!$C$25+heizkosten_baseline</f>
        <v>0.39999999999999991</v>
      </c>
      <c r="K10" s="98">
        <f>-Table6_2[[#This Row],[Grünes Gas Real]]*'Mapping RealwerteSpielwerte'!$C$26+heizkosten_baseline</f>
        <v>-2</v>
      </c>
      <c r="L10" s="98">
        <f>-Table6_2[[#This Row],[Wärmepumpe Real]]*'Mapping RealwerteSpielwerte'!$C$27+heizkosten_baseline</f>
        <v>2</v>
      </c>
    </row>
    <row r="11" spans="1:12" ht="22.5" customHeight="1" x14ac:dyDescent="0.2">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f>-Table6_2[[#This Row],[Gas Real]]*'Mapping RealwerteSpielwerte'!$C$23+heizkosten_baseline</f>
        <v>1.6</v>
      </c>
      <c r="I11" s="98">
        <f>-Table6_2[[#This Row],[Biomasse Real]]*'Mapping RealwerteSpielwerte'!$C$24+heizkosten_baseline</f>
        <v>1.68</v>
      </c>
      <c r="J11" s="98">
        <f>-Table6_2[[#This Row],[Fernwärme Real]]*'Mapping RealwerteSpielwerte'!$C$25+heizkosten_baseline</f>
        <v>1.2</v>
      </c>
      <c r="K11" s="98">
        <f>-Table6_2[[#This Row],[Grünes Gas Real]]*'Mapping RealwerteSpielwerte'!$C$26+heizkosten_baseline</f>
        <v>0</v>
      </c>
      <c r="L11" s="98">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703125" defaultRowHeight="15.75" customHeight="1" x14ac:dyDescent="0.2"/>
  <cols>
    <col min="4" max="8" width="13.140625" customWidth="1"/>
  </cols>
  <sheetData>
    <row r="1" spans="1:8" ht="22.5" customHeight="1" x14ac:dyDescent="0.2">
      <c r="A1" s="91" t="s">
        <v>292</v>
      </c>
      <c r="B1" s="91" t="s">
        <v>317</v>
      </c>
      <c r="C1" s="91" t="s">
        <v>329</v>
      </c>
      <c r="D1" s="91" t="s">
        <v>297</v>
      </c>
      <c r="E1" s="91" t="s">
        <v>298</v>
      </c>
      <c r="F1" s="91" t="s">
        <v>299</v>
      </c>
      <c r="G1" s="91" t="s">
        <v>300</v>
      </c>
      <c r="H1" s="91" t="s">
        <v>301</v>
      </c>
    </row>
    <row r="2" spans="1:8" ht="22.5" customHeight="1" x14ac:dyDescent="0.2">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x14ac:dyDescent="0.2">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x14ac:dyDescent="0.2">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x14ac:dyDescent="0.2">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x14ac:dyDescent="0.2">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x14ac:dyDescent="0.2">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x14ac:dyDescent="0.2">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x14ac:dyDescent="0.2">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x14ac:dyDescent="0.2">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x14ac:dyDescent="0.2">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75" x14ac:dyDescent="0.2">
      <c r="E16" s="99"/>
      <c r="F16" s="99"/>
      <c r="G16" s="99"/>
      <c r="H16" s="99"/>
    </row>
    <row r="17" spans="5:8" ht="12.75" x14ac:dyDescent="0.2">
      <c r="E17" s="99"/>
      <c r="F17" s="99"/>
      <c r="G17" s="99"/>
      <c r="H17" s="99"/>
    </row>
    <row r="18" spans="5:8" ht="12.75" x14ac:dyDescent="0.2">
      <c r="E18" s="99"/>
      <c r="F18" s="99"/>
      <c r="G18" s="99"/>
      <c r="H18" s="99"/>
    </row>
    <row r="19" spans="5:8" ht="12.75" x14ac:dyDescent="0.2">
      <c r="E19" s="99"/>
      <c r="F19" s="99"/>
      <c r="G19" s="99"/>
      <c r="H19" s="99"/>
    </row>
    <row r="20" spans="5:8" ht="12.75" x14ac:dyDescent="0.2">
      <c r="E20" s="99"/>
      <c r="F20" s="99"/>
      <c r="G20" s="99"/>
      <c r="H20" s="99"/>
    </row>
    <row r="21" spans="5:8" ht="12.75" x14ac:dyDescent="0.2">
      <c r="E21" s="99"/>
      <c r="F21" s="99"/>
      <c r="G21" s="99"/>
      <c r="H21" s="99"/>
    </row>
    <row r="22" spans="5:8" ht="12.75" x14ac:dyDescent="0.2">
      <c r="E22" s="99"/>
      <c r="F22" s="99"/>
      <c r="G22" s="99"/>
      <c r="H22" s="99"/>
    </row>
    <row r="23" spans="5:8" ht="12.75" x14ac:dyDescent="0.2">
      <c r="E23" s="99"/>
      <c r="F23" s="99"/>
      <c r="G23" s="99"/>
      <c r="H23" s="99"/>
    </row>
    <row r="24" spans="5:8" ht="12.75" x14ac:dyDescent="0.2">
      <c r="E24" s="99"/>
      <c r="F24" s="99"/>
      <c r="G24" s="99"/>
      <c r="H24" s="99"/>
    </row>
    <row r="25" spans="5:8" ht="12.75" x14ac:dyDescent="0.2">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12" activePane="bottomLeft" state="frozen"/>
      <selection pane="bottomLeft" activeCell="N24" sqref="N24"/>
    </sheetView>
  </sheetViews>
  <sheetFormatPr baseColWidth="10" defaultColWidth="12.5703125" defaultRowHeight="15.75" customHeight="1" x14ac:dyDescent="0.2"/>
  <cols>
    <col min="1" max="1" width="16.7109375" customWidth="1"/>
    <col min="10" max="13" width="14" customWidth="1"/>
  </cols>
  <sheetData>
    <row r="1" spans="1:12" ht="22.5" customHeight="1" x14ac:dyDescent="0.2">
      <c r="A1" s="91" t="s">
        <v>276</v>
      </c>
      <c r="B1" s="106" t="s">
        <v>323</v>
      </c>
      <c r="C1" s="106" t="s">
        <v>344</v>
      </c>
      <c r="D1" s="109" t="s">
        <v>291</v>
      </c>
      <c r="E1" s="106" t="s">
        <v>325</v>
      </c>
      <c r="F1" s="106" t="s">
        <v>326</v>
      </c>
      <c r="G1" s="106" t="s">
        <v>327</v>
      </c>
      <c r="H1" s="106" t="s">
        <v>328</v>
      </c>
      <c r="I1" s="109" t="s">
        <v>302</v>
      </c>
      <c r="J1" s="109" t="s">
        <v>303</v>
      </c>
      <c r="K1" s="109" t="s">
        <v>304</v>
      </c>
      <c r="L1" s="109" t="s">
        <v>305</v>
      </c>
    </row>
    <row r="2" spans="1:12" ht="22.5" customHeight="1" x14ac:dyDescent="0.2">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x14ac:dyDescent="0.2">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x14ac:dyDescent="0.2">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x14ac:dyDescent="0.2">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x14ac:dyDescent="0.2">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x14ac:dyDescent="0.2">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x14ac:dyDescent="0.2">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x14ac:dyDescent="0.2">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x14ac:dyDescent="0.2">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x14ac:dyDescent="0.2">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x14ac:dyDescent="0.2">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x14ac:dyDescent="0.2">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x14ac:dyDescent="0.2">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x14ac:dyDescent="0.2">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x14ac:dyDescent="0.2">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x14ac:dyDescent="0.2">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x14ac:dyDescent="0.2">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x14ac:dyDescent="0.2">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x14ac:dyDescent="0.2">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x14ac:dyDescent="0.2">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x14ac:dyDescent="0.2">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x14ac:dyDescent="0.2">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x14ac:dyDescent="0.2">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x14ac:dyDescent="0.2">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x14ac:dyDescent="0.2">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x14ac:dyDescent="0.2">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x14ac:dyDescent="0.2">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x14ac:dyDescent="0.2">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x14ac:dyDescent="0.2">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x14ac:dyDescent="0.2">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x14ac:dyDescent="0.2">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x14ac:dyDescent="0.2">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x14ac:dyDescent="0.2">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x14ac:dyDescent="0.2">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x14ac:dyDescent="0.2">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x14ac:dyDescent="0.2">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2026-08-20T22:38:08Z</dcterms:modified>
</cp:coreProperties>
</file>